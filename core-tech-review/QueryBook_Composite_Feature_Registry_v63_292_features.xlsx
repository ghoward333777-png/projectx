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Registry v63" sheetId="1" state="visible" r:id="rId1"/>
    <sheet name="Registry Recor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2F53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16" customWidth="1" min="4" max="4"/>
    <col width="60" customWidth="1" min="5" max="5"/>
    <col width="50" customWidth="1" min="6" max="6"/>
    <col width="40" customWidth="1" min="7" max="7"/>
  </cols>
  <sheetData>
    <row r="1">
      <c r="A1" s="1" t="inlineStr">
        <is>
          <t>No.</t>
        </is>
      </c>
      <c r="B1" s="1" t="inlineStr">
        <is>
          <t>Feature</t>
        </is>
      </c>
      <c r="C1" s="1" t="inlineStr">
        <is>
          <t>Domain</t>
        </is>
      </c>
      <c r="D1" s="1" t="inlineStr">
        <is>
          <t>Citation</t>
        </is>
      </c>
      <c r="E1" s="1" t="inlineStr">
        <is>
          <t>Function</t>
        </is>
      </c>
      <c r="F1" s="1" t="inlineStr">
        <is>
          <t>Rule</t>
        </is>
      </c>
      <c r="G1" s="1" t="inlineStr">
        <is>
          <t>Worked expression</t>
        </is>
      </c>
    </row>
    <row r="2">
      <c r="A2" s="2" t="n">
        <v>1</v>
      </c>
      <c r="B2" s="2" t="inlineStr">
        <is>
          <t>Standard Q&amp;A</t>
        </is>
      </c>
      <c r="C2" s="2" t="inlineStr">
        <is>
          <t>Retrieval &amp; Response</t>
        </is>
      </c>
      <c r="D2" s="2" t="inlineStr">
        <is>
          <t>§52.13.2</t>
        </is>
      </c>
      <c r="E2" s="2" t="inlineStr">
        <is>
          <t>User-facing§52.13.2Reader Parse the query, retrieve candidate Fact Units via the Associative Recall Engine, run the Attractor Network to stabilize the candidate set, compose a response through the Narrative Graph's grounded-generation pipeline, deliver.</t>
        </is>
      </c>
      <c r="F2" s="2" t="inlineStr">
        <is>
          <t>Retrieval confidence must clear a minimum threshold before a Fact Unit is offered as grounding.</t>
        </is>
      </c>
      <c r="G2" s="2">
        <f>IF(0.62&gt;=0.5,"Included as Grounding","Excluded")</f>
        <v/>
      </c>
    </row>
    <row r="3">
      <c r="A3" s="2" t="n">
        <v>2</v>
      </c>
      <c r="B3" s="2" t="inlineStr">
        <is>
          <t>Guided Exploration</t>
        </is>
      </c>
      <c r="C3" s="2" t="inlineStr">
        <is>
          <t>Retrieval &amp; Response</t>
        </is>
      </c>
      <c r="D3" s="2" t="inlineStr">
        <is>
          <t>§52.13.2</t>
        </is>
      </c>
      <c r="E3" s="2" t="inlineStr">
        <is>
          <t>User-facing§52.13.2Reader As Standard Q&amp;A, but each turn's candidate retrieval is conditioned on the accumulated Cognitive Context Window from prior turns rather than the query alone.</t>
        </is>
      </c>
      <c r="F3" s="2" t="inlineStr">
        <is>
          <t>Context weight decays with turn distance; a fact from 5 turns ago counts less than one from the last turn.</t>
        </is>
      </c>
      <c r="G3" s="2">
        <f>1/(1+2)</f>
        <v/>
      </c>
    </row>
    <row r="4">
      <c r="A4" s="2" t="n">
        <v>3</v>
      </c>
      <c r="B4" s="2" t="inlineStr">
        <is>
          <t>Discussion Mode</t>
        </is>
      </c>
      <c r="C4" s="2" t="inlineStr">
        <is>
          <t>Retrieval &amp; Response</t>
        </is>
      </c>
      <c r="D4" s="2" t="inlineStr">
        <is>
          <t>§52.13.3</t>
        </is>
      </c>
      <c r="E4" s="2" t="inlineStr">
        <is>
          <t>User-facing§52.13.3Reader / Researcher Retrieve Fact Units as in Standard Q&amp;A; adopt a text-grounded viewpoint only where the source material's groundedness for that viewpoint clears a threshold.</t>
        </is>
      </c>
      <c r="F4" s="2" t="inlineStr">
        <is>
          <t>Viewpoint adoption is gated on a groundedness score exceeding a fixed threshold.</t>
        </is>
      </c>
      <c r="G4" s="2">
        <f>IF(0.8&gt;0.6,"Adopt Viewpoint","Retrieve Only")</f>
        <v/>
      </c>
    </row>
    <row r="5">
      <c r="A5" s="2" t="n">
        <v>4</v>
      </c>
      <c r="B5" s="2" t="inlineStr">
        <is>
          <t>Tutorial Mode</t>
        </is>
      </c>
      <c r="C5" s="2" t="inlineStr">
        <is>
          <t>Retrieval &amp; Response</t>
        </is>
      </c>
      <c r="D5" s="2" t="inlineStr">
        <is>
          <t>§52.13.2</t>
        </is>
      </c>
      <c r="E5" s="2" t="inlineStr">
        <is>
          <t>User-facing§52.13.2Student Sequence a book's Fact Units into ordered instructional steps of increasing difficulty.</t>
        </is>
      </c>
      <c r="F5" s="2" t="inlineStr">
        <is>
          <t>Steps are ordered by a difficulty rank; a step's position is its rank among all steps.</t>
        </is>
      </c>
      <c r="G5" s="2">
        <f>RANK(3,{1,2,3,4,5})</f>
        <v/>
      </c>
    </row>
    <row r="6">
      <c r="A6" s="2" t="n">
        <v>5</v>
      </c>
      <c r="B6" s="2" t="inlineStr">
        <is>
          <t>Comprehension Check</t>
        </is>
      </c>
      <c r="C6" s="2" t="inlineStr">
        <is>
          <t>Learning &amp; Assessment</t>
        </is>
      </c>
      <c r="D6" s="2" t="inlineStr">
        <is>
          <t>§52.13.2</t>
        </is>
      </c>
      <c r="E6" s="2" t="inlineStr">
        <is>
          <t>User-facing§52.13.2Student Generate a question from a target Fact Unit; compare a submitted answer's semantic similarity against that Fact Unit's content; correct if similarity clears a threshold.</t>
        </is>
      </c>
      <c r="F6" s="2" t="inlineStr">
        <is>
          <t>Answer correctness is a threshold comparison on a semantic-similarity score.</t>
        </is>
      </c>
      <c r="G6" s="2">
        <f>IF(0.87&gt;=0.75,"Correct","Incorrect")</f>
        <v/>
      </c>
    </row>
    <row r="7">
      <c r="A7" s="2" t="n">
        <v>6</v>
      </c>
      <c r="B7" s="2" t="inlineStr">
        <is>
          <t>Semantic Exploration</t>
        </is>
      </c>
      <c r="C7" s="2" t="inlineStr">
        <is>
          <t>Retrieval &amp; Response</t>
        </is>
      </c>
      <c r="D7" s="2" t="inlineStr">
        <is>
          <t>§52.13.2</t>
        </is>
      </c>
      <c r="E7" s="2" t="inlineStr">
        <is>
          <t>User-facing§52.13.2Reader / Researcher Traverse the Ontology Mesh outward from a starting node, surfacing connected nodes ranked by relationship strength.</t>
        </is>
      </c>
      <c r="F7" s="2" t="inlineStr">
        <is>
          <t>Neighbors are included only above a relationship-strength threshold.</t>
        </is>
      </c>
      <c r="G7" s="2">
        <f>IF(0.55&gt;=0.4,"Include Neighbor","Exclude")</f>
        <v/>
      </c>
    </row>
    <row r="8">
      <c r="A8" s="2" t="n">
        <v>7</v>
      </c>
      <c r="B8" s="2" t="inlineStr">
        <is>
          <t>Timeline Reconstruction</t>
        </is>
      </c>
      <c r="C8" s="2" t="inlineStr">
        <is>
          <t>Retrieval &amp; Response</t>
        </is>
      </c>
      <c r="D8" s="2" t="inlineStr">
        <is>
          <t>§52.13.2</t>
        </is>
      </c>
      <c r="E8" s="2" t="inlineStr">
        <is>
          <t>User-facing§52.13.2Reader Extract TemporalAnchor fields from a book's Fact Units and order them chronologically.</t>
        </is>
      </c>
      <c r="F8" s="2" t="inlineStr">
        <is>
          <t>Chronological ordering is a pairwise date comparison.</t>
        </is>
      </c>
      <c r="G8" s="2">
        <f>IF(DATE(1848,3,14)&lt;DATE(1849,1,1),"Event A First","Event B First")</f>
        <v/>
      </c>
    </row>
    <row r="9">
      <c r="A9" s="2" t="n">
        <v>8</v>
      </c>
      <c r="B9" s="2" t="inlineStr">
        <is>
          <t>Edition Comparison</t>
        </is>
      </c>
      <c r="C9" s="2" t="inlineStr">
        <is>
          <t>Retrieval &amp; Response</t>
        </is>
      </c>
      <c r="D9" s="2" t="inlineStr">
        <is>
          <t>§52.13.2</t>
        </is>
      </c>
      <c r="E9" s="2" t="inlineStr">
        <is>
          <t>User-facing§52.13.2Reader Diff the VersionChain entries of two edition-tagged Fact Unit sets, surfacing additions, removals, and changes.</t>
        </is>
      </c>
      <c r="F9" s="2" t="inlineStr">
        <is>
          <t>A field differs between editions if its two values are unequal.</t>
        </is>
      </c>
      <c r="G9" s="2">
        <f>IF("v2 text"&lt;&gt;"v1 text","Changed","Same")</f>
        <v/>
      </c>
    </row>
    <row r="10">
      <c r="A10" s="2" t="n">
        <v>9</v>
      </c>
      <c r="B10" s="2" t="inlineStr">
        <is>
          <t>Flashcard Generation</t>
        </is>
      </c>
      <c r="C10" s="2" t="inlineStr">
        <is>
          <t>Retrieval &amp; Response</t>
        </is>
      </c>
      <c r="D10" s="2" t="inlineStr">
        <is>
          <t>§52.13.2.1</t>
        </is>
      </c>
      <c r="E10" s="2" t="inlineStr">
        <is>
          <t>User-facing§52.13.2.1Student Select a Fact Unit, derive a question/answer pair from its content and SupportingFactUnits, format as a citing study card.</t>
        </is>
      </c>
      <c r="F10" s="2" t="inlineStr">
        <is>
          <t>Structural rule: One flashcard derives from exactly one Fact Unit; a card spanning two Fact Units is not generated.</t>
        </is>
      </c>
      <c r="G10" s="2" t="inlineStr"/>
    </row>
    <row r="11">
      <c r="A11" s="2" t="n">
        <v>10</v>
      </c>
      <c r="B11" s="2" t="inlineStr">
        <is>
          <t>Fact Graph Visualization</t>
        </is>
      </c>
      <c r="C11" s="2" t="inlineStr">
        <is>
          <t>Interaction Surfaces</t>
        </is>
      </c>
      <c r="D11" s="2" t="inlineStr">
        <is>
          <t>§52.13.2.2</t>
        </is>
      </c>
      <c r="E11" s="2" t="inlineStr">
        <is>
          <t>User-facing§52.13.2.2Researcher Render Ontology Mesh nodes and edges for a given scope as an explicit graph structure.</t>
        </is>
      </c>
      <c r="F11" s="2" t="inlineStr">
        <is>
          <t>Structural rule: The rendered graph contains exactly the nodes and edges within the requester's scope description; no node is drawn that traversal would not return.</t>
        </is>
      </c>
      <c r="G11" s="2" t="inlineStr"/>
    </row>
    <row r="12">
      <c r="A12" s="2" t="n">
        <v>11</v>
      </c>
      <c r="B12" s="2" t="inlineStr">
        <is>
          <t>Inline Fact Previews</t>
        </is>
      </c>
      <c r="C12" s="2" t="inlineStr">
        <is>
          <t>Interaction Surfaces</t>
        </is>
      </c>
      <c r="D12" s="2" t="inlineStr">
        <is>
          <t>§52.13.2.2</t>
        </is>
      </c>
      <c r="E12" s="2" t="inlineStr">
        <is>
          <t>User-facing§52.13.2.2Reader On hover/tap of a cited fact reference, retrieve and display that Fact Unit's summary without a new query round-trip.</t>
        </is>
      </c>
      <c r="F12" s="2" t="inlineStr">
        <is>
          <t>Structural rule: A preview resolves the cited Fact Unit already retrieved for the response; it issues no new query and can surface no record the response did not cite.</t>
        </is>
      </c>
      <c r="G12" s="2" t="inlineStr"/>
    </row>
    <row r="13">
      <c r="A13" s="2" t="n">
        <v>12</v>
      </c>
      <c r="B13" s="2" t="inlineStr">
        <is>
          <t>Contextual Footnotes</t>
        </is>
      </c>
      <c r="C13" s="2" t="inlineStr">
        <is>
          <t>Interaction Surfaces</t>
        </is>
      </c>
      <c r="D13" s="2" t="inlineStr">
        <is>
          <t>§52.13.2.1</t>
        </is>
      </c>
      <c r="E13" s="2" t="inlineStr">
        <is>
          <t>User-facing§52.13.2.1Reader Attach a Fact Unit's supplementary detail as an inline, dismissible footnote at its citation point.</t>
        </is>
      </c>
      <c r="F13" s="2" t="inlineStr">
        <is>
          <t>Structural rule: A footnote attaches at the citation point of the Fact Unit it elaborates and is dismissible without altering the response body.</t>
        </is>
      </c>
      <c r="G13" s="2" t="inlineStr"/>
    </row>
    <row r="14">
      <c r="A14" s="2" t="n">
        <v>13</v>
      </c>
      <c r="B14" s="2" t="inlineStr">
        <is>
          <t>Personal Notes</t>
        </is>
      </c>
      <c r="C14" s="2" t="inlineStr">
        <is>
          <t>Interaction Surfaces</t>
        </is>
      </c>
      <c r="D14" s="2" t="inlineStr">
        <is>
          <t>Chapter 63</t>
        </is>
      </c>
      <c r="E14" s="2" t="inlineStr">
        <is>
          <t>User-facingChapter 63Reader Store reader-authored text as a Fact Unit with AccessControlList restricted to the authoring reader alone.</t>
        </is>
      </c>
      <c r="F14" s="2" t="inlineStr">
        <is>
          <t>Access is granted only when the requester's identity matches the note's owner.</t>
        </is>
      </c>
      <c r="G14" s="2">
        <f>IF("reader_42"="reader_42","Access Granted","Denied")</f>
        <v/>
      </c>
    </row>
    <row r="15">
      <c r="A15" s="2" t="n">
        <v>14</v>
      </c>
      <c r="B15" s="2" t="inlineStr">
        <is>
          <t>Social Annotations</t>
        </is>
      </c>
      <c r="C15" s="2" t="inlineStr">
        <is>
          <t>Interaction Surfaces</t>
        </is>
      </c>
      <c r="D15" s="2" t="inlineStr">
        <is>
          <t>§52.13.2.1</t>
        </is>
      </c>
      <c r="E15" s="2" t="inlineStr">
        <is>
          <t>User-facing§52.13.2.1 / Ch63Reader As Personal Notes, but AccessControlList defaults to author-configured sharing rather than reader-private.</t>
        </is>
      </c>
      <c r="F15" s="2" t="inlineStr">
        <is>
          <t>Visibility depends on a sharing flag rather than strict owner-match.</t>
        </is>
      </c>
      <c r="G15" s="2">
        <f>IF(TRUE(),"Visible to Others","Private")</f>
        <v/>
      </c>
    </row>
    <row r="16">
      <c r="A16" s="2" t="n">
        <v>15</v>
      </c>
      <c r="B16" s="2" t="inlineStr">
        <is>
          <t>Message Boards</t>
        </is>
      </c>
      <c r="C16" s="2" t="inlineStr">
        <is>
          <t>Interaction Surfaces</t>
        </is>
      </c>
      <c r="D16" s="2" t="inlineStr">
        <is>
          <t>Chapter 64</t>
        </is>
      </c>
      <c r="E16" s="2" t="inlineStr">
        <is>
          <t>User-facingChapter 64Reader / Author Route a post into one of four board-type partitions per the poster's role; apply moderation-action checks on write.</t>
        </is>
      </c>
      <c r="F16" s="2" t="inlineStr">
        <is>
          <t>Board partition is selected from a fixed enumeration by type index.</t>
        </is>
      </c>
      <c r="G16" s="2">
        <f>CHOOSE(2,"Book-Wide","Chapter","Class","Announcement")</f>
        <v/>
      </c>
    </row>
    <row r="17">
      <c r="A17" s="2" t="n">
        <v>16</v>
      </c>
      <c r="B17" s="2" t="inlineStr">
        <is>
          <t>Private Messaging</t>
        </is>
      </c>
      <c r="C17" s="2" t="inlineStr">
        <is>
          <t>Access, Rights &amp; Retention</t>
        </is>
      </c>
      <c r="D17" s="2" t="inlineStr">
        <is>
          <t>§82.2</t>
        </is>
      </c>
      <c r="E17" s="2" t="inlineStr">
        <is>
          <t>User-facing§82.2Reader / Author Write a DirectMessage Fact Unit with AccessControlList restricted to exactly the sending and receiving identity.</t>
        </is>
      </c>
      <c r="F17" s="2" t="inlineStr">
        <is>
          <t>Access is granted only to the two identities named on the message.</t>
        </is>
      </c>
      <c r="G17" s="2">
        <f>IF(OR("reader_9"="reader_9","reader_9"="author_3"),"Access Granted","Denied")</f>
        <v/>
      </c>
    </row>
    <row r="18">
      <c r="A18" s="2" t="n">
        <v>17</v>
      </c>
      <c r="B18" s="2" t="inlineStr">
        <is>
          <t>Reader History Interface</t>
        </is>
      </c>
      <c r="C18" s="2" t="inlineStr">
        <is>
          <t>Access, Rights &amp; Retention</t>
        </is>
      </c>
      <c r="D18" s="2" t="inlineStr">
        <is>
          <t>§36.8</t>
        </is>
      </c>
      <c r="E18" s="2" t="inlineStr">
        <is>
          <t>User-facing§36.8Reader Chronological record of every session across every owned book, each entry expandable to show what was retrieved.</t>
        </is>
      </c>
      <c r="F18" s="2" t="inlineStr">
        <is>
          <t>Sessions are ordered by timestamp, most recent first.</t>
        </is>
      </c>
      <c r="G18" s="2">
        <f>IF(DATE(2026,8,10)&gt;DATE(2026,8,1),"Shown First","Shown Later")</f>
        <v/>
      </c>
    </row>
    <row r="19">
      <c r="A19" s="2" t="n">
        <v>18</v>
      </c>
      <c r="B19" s="2" t="inlineStr">
        <is>
          <t>Cross-Book Thematic Analysis</t>
        </is>
      </c>
      <c r="C19" s="2" t="inlineStr">
        <is>
          <t>Access, Rights &amp; Retention</t>
        </is>
      </c>
      <c r="D19" s="2" t="inlineStr">
        <is>
          <t>Chapter 36</t>
        </is>
      </c>
      <c r="E19" s="2" t="inlineStr">
        <is>
          <t>User-facingChapter 36Reader / Student Analyze a reader's own query-history Fact Units for recurring semantic clusters, then match against Ontology Mesh nodes in other owned books.</t>
        </is>
      </c>
      <c r="F19" s="2" t="inlineStr">
        <is>
          <t>A cross-book match requires cluster similarity above a threshold.</t>
        </is>
      </c>
      <c r="G19" s="2">
        <f>IF(0.71&gt;=0.6,"Genuine Connection","No Match")</f>
        <v/>
      </c>
    </row>
    <row r="20">
      <c r="A20" s="2" t="n">
        <v>19</v>
      </c>
      <c r="B20" s="2" t="inlineStr">
        <is>
          <t>QBQL Structured Query</t>
        </is>
      </c>
      <c r="C20" s="2" t="inlineStr">
        <is>
          <t>Retrieval &amp; Response</t>
        </is>
      </c>
      <c r="D20" s="2" t="inlineStr">
        <is>
          <t>Chapter 18</t>
        </is>
      </c>
      <c r="E20" s="2" t="inlineStr">
        <is>
          <t>User-facingChapter 18Researcher Parse a declarative query against the Fact Graph schema, resolve predicates, execute as a deterministic read-only traversal.</t>
        </is>
      </c>
      <c r="F20" s="2" t="inlineStr">
        <is>
          <t>Pure function of (query, current state) — no side effects.</t>
        </is>
      </c>
      <c r="G20" s="2" t="inlineStr"/>
    </row>
    <row r="21">
      <c r="A21" s="2" t="n">
        <v>20</v>
      </c>
      <c r="B21" s="2" t="inlineStr">
        <is>
          <t>NLPL Natural-Language Programs</t>
        </is>
      </c>
      <c r="C21" s="2" t="inlineStr">
        <is>
          <t>Retrieval &amp; Response</t>
        </is>
      </c>
      <c r="D21" s="2" t="inlineStr">
        <is>
          <t>Chapter 48</t>
        </is>
      </c>
      <c r="E21" s="2" t="inlineStr">
        <is>
          <t>User-facingChapter 48Researcher / Author Break the natural-language instruction into its constituent components before any code is generated.</t>
        </is>
      </c>
      <c r="F21" s="2" t="inlineStr">
        <is>
          <t>Structural rule: Decomposition into operational intents completes before any intent is bound to a concrete entity; an ambiguous binding halts compilation rather than resolving it.</t>
        </is>
      </c>
      <c r="G21" s="2" t="inlineStr"/>
    </row>
    <row r="22">
      <c r="A22" s="2" t="n">
        <v>21</v>
      </c>
      <c r="B22" s="2" t="inlineStr">
        <is>
          <t>Application Library and Generator</t>
        </is>
      </c>
      <c r="C22" s="2" t="inlineStr">
        <is>
          <t>Authoring, Editions &amp; Publication</t>
        </is>
      </c>
      <c r="D22" s="2" t="inlineStr">
        <is>
          <t>Chapter 39</t>
        </is>
      </c>
      <c r="E22" s="2" t="inlineStr">
        <is>
          <t>User-facingChapter 39Reader Match a plain-language request against the existing template library by task/domain similarity; compose a new template only where no adequate match exists.</t>
        </is>
      </c>
      <c r="F22" s="2" t="inlineStr">
        <is>
          <t>A library match is used only above a similarity threshold; below it, composition is triggered.</t>
        </is>
      </c>
      <c r="G22" s="2">
        <f>IF(0.4&gt;=0.65,"Use Existing Template","Compose New Template")</f>
        <v/>
      </c>
    </row>
    <row r="23">
      <c r="A23" s="2" t="n">
        <v>22</v>
      </c>
      <c r="B23" s="2" t="inlineStr">
        <is>
          <t>Video Colorization &amp; Upscaling (VCUM)</t>
        </is>
      </c>
      <c r="C23" s="2" t="inlineStr">
        <is>
          <t>Authoring, Editions &amp; Publication</t>
        </is>
      </c>
      <c r="D23" s="2" t="inlineStr">
        <is>
          <t>Chapter 44</t>
        </is>
      </c>
      <c r="E23" s="2" t="inlineStr">
        <is>
          <t>User-facingChapter 44Reader / Researcher Semantic Colorization Engine infers plausible color per-region from identified material class and lighting; upscaling synthesizes detail constrained to remain consistent with the source.</t>
        </is>
      </c>
      <c r="F23" s="2" t="inlineStr">
        <is>
          <t>Deterministic inference function: identical inputs always yield the identical inferred color.</t>
        </is>
      </c>
      <c r="G23" s="2" t="inlineStr"/>
    </row>
    <row r="24">
      <c r="A24" s="2" t="n">
        <v>23</v>
      </c>
      <c r="B24" s="2" t="inlineStr">
        <is>
          <t>Immersive 3D Scenes (IQR)</t>
        </is>
      </c>
      <c r="C24" s="2" t="inlineStr">
        <is>
          <t>Interaction Surfaces</t>
        </is>
      </c>
      <c r="D24" s="2" t="inlineStr">
        <is>
          <t>Chapter 46</t>
        </is>
      </c>
      <c r="E24" s="2" t="inlineStr">
        <is>
          <t>User-facingChapter 46Reader Where grounding Fact Units carry sufficient spatial detail, instantiate WASM Fact Units as a renderable 3D scene.</t>
        </is>
      </c>
      <c r="F24" s="2" t="inlineStr">
        <is>
          <t>Scene rendering is triggered only once spatial-detail sufficiency clears a threshold.</t>
        </is>
      </c>
      <c r="G24" s="2">
        <f>IF(0.8&gt;=0.7,"Render 3D Scene","Text Only")</f>
        <v/>
      </c>
    </row>
    <row r="25">
      <c r="A25" s="2" t="n">
        <v>24</v>
      </c>
      <c r="B25" s="2" t="inlineStr">
        <is>
          <t>Tour and Exhibition Mode</t>
        </is>
      </c>
      <c r="C25" s="2" t="inlineStr">
        <is>
          <t>Interaction Surfaces</t>
        </is>
      </c>
      <c r="D25" s="2" t="inlineStr">
        <is>
          <t>§46.9</t>
        </is>
      </c>
      <c r="E25" s="2" t="inlineStr">
        <is>
          <t>User-facing§46.9Author / Reader Sequence author-selected IQR scenes into ordered Waypoints; playback steps through at reader-controlled pace.</t>
        </is>
      </c>
      <c r="F25" s="2" t="inlineStr">
        <is>
          <t>Waypoint order is a fixed sequence index.</t>
        </is>
      </c>
      <c r="G25" s="2">
        <f>INDEX({"Scene A","Scene B","Scene C"},2)</f>
        <v/>
      </c>
    </row>
    <row r="26">
      <c r="A26" s="2" t="n">
        <v>25</v>
      </c>
      <c r="B26" s="2" t="inlineStr">
        <is>
          <t>Presenter Mode</t>
        </is>
      </c>
      <c r="C26" s="2" t="inlineStr">
        <is>
          <t>Interaction Surfaces</t>
        </is>
      </c>
      <c r="D26" s="2" t="inlineStr">
        <is>
          <t>§46.10</t>
        </is>
      </c>
      <c r="E26" s="2" t="inlineStr">
        <is>
          <t>User-facing§46.10Author Verify the requested presence mode against the author's current, mode-specific, non-revoked Author Authorization Record.</t>
        </is>
      </c>
      <c r="F26" s="2" t="inlineStr">
        <is>
          <t>Authorization is granted only if the specific mode is both authorized and not revoked.</t>
        </is>
      </c>
      <c r="G26" s="2">
        <f>IF(AND(TRUE(),NOT(FALSE())),"Authorized","Denied")</f>
        <v/>
      </c>
    </row>
    <row r="27">
      <c r="A27" s="2" t="n">
        <v>26</v>
      </c>
      <c r="B27" s="2" t="inlineStr">
        <is>
          <t>Instructor-Created Tours</t>
        </is>
      </c>
      <c r="C27" s="2" t="inlineStr">
        <is>
          <t>Interaction Surfaces</t>
        </is>
      </c>
      <c r="D27" s="2" t="inlineStr">
        <is>
          <t>Chapter 83</t>
        </is>
      </c>
      <c r="E27" s="2" t="inlineStr">
        <is>
          <t>User-facingChapter 83Instructor Sequence a Tour from already-published scenes, composed by an instructor rather than the author; carries non-removable ContentRole = INSTRUCTOR attribution.</t>
        </is>
      </c>
      <c r="F27" s="2" t="inlineStr">
        <is>
          <t>Attribution label is fixed by content role, not editable by the instructor.</t>
        </is>
      </c>
      <c r="G27" s="2">
        <f>IF("INSTRUCTOR"="INSTRUCTOR","Label: Instructor-Created","Label: Author-Curated")</f>
        <v/>
      </c>
    </row>
    <row r="28">
      <c r="A28" s="2" t="n">
        <v>27</v>
      </c>
      <c r="B28" s="2" t="inlineStr">
        <is>
          <t>Instructor Notes</t>
        </is>
      </c>
      <c r="C28" s="2" t="inlineStr">
        <is>
          <t>Interaction Surfaces</t>
        </is>
      </c>
      <c r="D28" s="2" t="inlineStr">
        <is>
          <t>§83.1</t>
        </is>
      </c>
      <c r="E28" s="2" t="inlineStr">
        <is>
          <t>User-facing§83.1Instructor As Personal Notes, but AccessControlList is scoped to the instructor's class roster.</t>
        </is>
      </c>
      <c r="F28" s="2" t="inlineStr">
        <is>
          <t>Access is granted only to identities on the class roster.</t>
        </is>
      </c>
      <c r="G28" s="2">
        <f>IF(COUNTIF({"student_1","student_2","student_3"},"student_2")&gt;0,"Access Granted","Denied")</f>
        <v/>
      </c>
    </row>
    <row r="29">
      <c r="A29" s="2" t="n">
        <v>28</v>
      </c>
      <c r="B29" s="2" t="inlineStr">
        <is>
          <t>Session Books</t>
        </is>
      </c>
      <c r="C29" s="2" t="inlineStr">
        <is>
          <t>Interaction Surfaces</t>
        </is>
      </c>
      <c r="D29" s="2" t="inlineStr">
        <is>
          <t>§84.1</t>
        </is>
      </c>
      <c r="E29" s="2" t="inlineStr">
        <is>
          <t>User-facing§84.1Reader / Researcher Construct a delta reference over the reader's library without copying underlying Fact Units; purge on session end.</t>
        </is>
      </c>
      <c r="F29" s="2" t="inlineStr">
        <is>
          <t>The delta is a reference set, not a copy; its size is independent of the underlying library size.</t>
        </is>
      </c>
      <c r="G29" s="2" t="inlineStr"/>
    </row>
    <row r="30">
      <c r="A30" s="2" t="n">
        <v>29</v>
      </c>
      <c r="B30" s="2" t="inlineStr">
        <is>
          <t>Instructor-Customized Assessment Templates</t>
        </is>
      </c>
      <c r="C30" s="2" t="inlineStr">
        <is>
          <t>Learning &amp; Assessment</t>
        </is>
      </c>
      <c r="D30" s="2" t="inlineStr">
        <is>
          <t>§84.2</t>
        </is>
      </c>
      <c r="E30" s="2" t="inlineStr">
        <is>
          <t>User-facing§84.2Instructor Store instructor-chosen structural parameters as a reusable template; apply structure to Comprehension Check generation while sourcing content from the Fact Graph.</t>
        </is>
      </c>
      <c r="F30" s="2" t="inlineStr">
        <is>
          <t>Question count is bounded by the template's configured maximum.</t>
        </is>
      </c>
      <c r="G30" s="2">
        <f>MIN(12,10)</f>
        <v/>
      </c>
    </row>
    <row r="31">
      <c r="A31" s="2" t="n">
        <v>30</v>
      </c>
      <c r="B31" s="2" t="inlineStr">
        <is>
          <t>Instructor Grant Visibility Dashboard</t>
        </is>
      </c>
      <c r="C31" s="2" t="inlineStr">
        <is>
          <t>Access, Rights &amp; Retention</t>
        </is>
      </c>
      <c r="D31" s="2" t="inlineStr">
        <is>
          <t>Chapter 85</t>
        </is>
      </c>
      <c r="E31" s="2" t="inlineStr">
        <is>
          <t>User-facingChapter 85Instructor Query all active instructor-grant Fact Units for the viewing identity; join against Class Board, Instructor Tour, and Assessment Template records.</t>
        </is>
      </c>
      <c r="F31" s="2" t="inlineStr">
        <is>
          <t>A grant is shown only while its status is active.</t>
        </is>
      </c>
      <c r="G31" s="2">
        <f>IF("ACTIVE"="ACTIVE","Show on Dashboard","Hide - Expired")</f>
        <v/>
      </c>
    </row>
    <row r="32">
      <c r="A32" s="2" t="n">
        <v>31</v>
      </c>
      <c r="B32" s="2" t="inlineStr">
        <is>
          <t>Manuscript Upload</t>
        </is>
      </c>
      <c r="C32" s="2" t="inlineStr">
        <is>
          <t>Authoring, Editions &amp; Publication</t>
        </is>
      </c>
      <c r="D32" s="2" t="inlineStr">
        <is>
          <t>§61.1.1</t>
        </is>
      </c>
      <c r="E32" s="2" t="inlineStr">
        <is>
          <t>User-facing§61.1.1Author Ingest the uploaded file in a single event; tag resulting Fact Units DraftStatus = DRAFT; restrict visibility until explicit submission.</t>
        </is>
      </c>
      <c r="F32" s="2" t="inlineStr">
        <is>
          <t>Visibility is gated on DraftStatus.</t>
        </is>
      </c>
      <c r="G32" s="2">
        <f>IF("DRAFT"="DRAFT","Author-Only Visibility","Public")</f>
        <v/>
      </c>
    </row>
    <row r="33">
      <c r="A33" s="2" t="n">
        <v>32</v>
      </c>
      <c r="B33" s="2" t="inlineStr">
        <is>
          <t>Manuscript Editor</t>
        </is>
      </c>
      <c r="C33" s="2" t="inlineStr">
        <is>
          <t>Authoring, Editions &amp; Publication</t>
        </is>
      </c>
      <c r="D33" s="2" t="inlineStr">
        <is>
          <t>§61.1</t>
        </is>
      </c>
      <c r="E33" s="2" t="inlineStr">
        <is>
          <t>User-facing§61.1Author Accumulate Fact Units incrementally per edit; each edit versioned through the standard VersionChain mechanism.</t>
        </is>
      </c>
      <c r="F33" s="2" t="inlineStr">
        <is>
          <t>Each edit increments the version counter by exactly one.</t>
        </is>
      </c>
      <c r="G33" s="2">
        <f>3+1</f>
        <v/>
      </c>
    </row>
    <row r="34">
      <c r="A34" s="2" t="n">
        <v>33</v>
      </c>
      <c r="B34" s="2" t="inlineStr">
        <is>
          <t>Narrative Coherence Checking</t>
        </is>
      </c>
      <c r="C34" s="2" t="inlineStr">
        <is>
          <t>Authoring, Editions &amp; Publication</t>
        </is>
      </c>
      <c r="D34" s="2" t="inlineStr">
        <is>
          <t>§61.2</t>
        </is>
      </c>
      <c r="E34" s="2" t="inlineStr">
        <is>
          <t>User-facing§61.2Author Apply Discussion Mode's critical-analysis capability to the draft's own Fact Graph, surfacing internal contradictions.</t>
        </is>
      </c>
      <c r="F34" s="2" t="inlineStr">
        <is>
          <t>A contradiction is flagged when two Fact Units assert incompatible values for the same subject/field.</t>
        </is>
      </c>
      <c r="G34" s="2">
        <f>IF("alive"&lt;&gt;"deceased","Contradiction Found","Consistent")</f>
        <v/>
      </c>
    </row>
    <row r="35">
      <c r="A35" s="2" t="n">
        <v>34</v>
      </c>
      <c r="B35" s="2" t="inlineStr">
        <is>
          <t>Counterfactual Exploration (Drafting)</t>
        </is>
      </c>
      <c r="C35" s="2" t="inlineStr">
        <is>
          <t>Authoring, Editions &amp; Publication</t>
        </is>
      </c>
      <c r="D35" s="2" t="inlineStr">
        <is>
          <t>§61.3</t>
        </is>
      </c>
      <c r="E35" s="2" t="inlineStr">
        <is>
          <t>User-facing§61.3Author Construct a Scenario Graph COUNTERFACTUAL branch from the draft's current state, preserving both branches.</t>
        </is>
      </c>
      <c r="F35" s="2" t="inlineStr">
        <is>
          <t>Both counterfactual branches are preserved; branch count after divergence is two.</t>
        </is>
      </c>
      <c r="G35" s="2">
        <f>IF(1+1&gt;=2,"Both branches preserved","Branch lost")</f>
        <v/>
      </c>
    </row>
    <row r="36">
      <c r="A36" s="2" t="n">
        <v>35</v>
      </c>
      <c r="B36" s="2" t="inlineStr">
        <is>
          <t>Supplemental Content</t>
        </is>
      </c>
      <c r="C36" s="2" t="inlineStr">
        <is>
          <t>Access, Rights &amp; Retention</t>
        </is>
      </c>
      <c r="D36" s="2" t="inlineStr">
        <is>
          <t>§82.1</t>
        </is>
      </c>
      <c r="E36" s="2" t="inlineStr">
        <is>
          <t>User-facing§82.1Author Ingest author-provided material, tag ContentRole = SUPPLEMENTAL, link to the parent book without altering its Rights Validation status.</t>
        </is>
      </c>
      <c r="F36" s="2" t="inlineStr">
        <is>
          <t>Rights status is read-only from the supplemental-ingestion path; it cannot be modified by this operation.</t>
        </is>
      </c>
      <c r="G36" s="2">
        <f>IF("VALIDATED"="VALIDATED","Rights Status Unchanged","Rights Status Unchanged")</f>
        <v/>
      </c>
    </row>
    <row r="37">
      <c r="A37" s="2" t="n">
        <v>36</v>
      </c>
      <c r="B37" s="2" t="inlineStr">
        <is>
          <t>Multi-Author Collaboration</t>
        </is>
      </c>
      <c r="C37" s="2" t="inlineStr">
        <is>
          <t>Authoring, Editions &amp; Publication</t>
        </is>
      </c>
      <c r="D37" s="2" t="inlineStr">
        <is>
          <t>Chapter 74</t>
        </is>
      </c>
      <c r="E37" s="2" t="inlineStr">
        <is>
          <t>User-facingChapter 74Co-Authors Detect concurrent-write divergence via VersionChain head comparison.</t>
        </is>
      </c>
      <c r="F37" s="2" t="inlineStr">
        <is>
          <t>A conflict exists when two authors' starting version heads differ from the current head.</t>
        </is>
      </c>
      <c r="G37" s="2">
        <f>IF(3&lt;&gt;5,"Conflict Detected","No Conflict")</f>
        <v/>
      </c>
    </row>
    <row r="38">
      <c r="A38" s="2" t="n">
        <v>37</v>
      </c>
      <c r="B38" s="2" t="inlineStr">
        <is>
          <t>Author-Hosted Reader Events</t>
        </is>
      </c>
      <c r="C38" s="2" t="inlineStr">
        <is>
          <t>Authoring, Editions &amp; Publication</t>
        </is>
      </c>
      <c r="D38" s="2" t="inlineStr">
        <is>
          <t>Chapter 62</t>
        </is>
      </c>
      <c r="E38" s="2" t="inlineStr">
        <is>
          <t>User-facingChapter 62Author / Instructor Register an external collaboration platform once via the Source Connector Registry; dispatch scheduling/invitation calls through it.</t>
        </is>
      </c>
      <c r="F38" s="2" t="inlineStr">
        <is>
          <t>Structural rule: An event operation is dispatched only through a connector registered under a declared capability; the platform's broader authority does not become system authority.</t>
        </is>
      </c>
      <c r="G38" s="2" t="inlineStr"/>
    </row>
    <row r="39">
      <c r="A39" s="2" t="n">
        <v>38</v>
      </c>
      <c r="B39" s="2" t="inlineStr">
        <is>
          <t>Class Boards</t>
        </is>
      </c>
      <c r="C39" s="2" t="inlineStr">
        <is>
          <t>Interaction Surfaces</t>
        </is>
      </c>
      <c r="D39" s="2" t="inlineStr">
        <is>
          <t>§64.1</t>
        </is>
      </c>
      <c r="E39" s="2" t="inlineStr">
        <is>
          <t>User-facing§64.1Instructor / Student As Message Boards, scoped to a specific instructor + class pairing.</t>
        </is>
      </c>
      <c r="F39" s="2" t="inlineStr">
        <is>
          <t>Structural rule: Board scope is the intersection of an instructor identity and a class roster; a post is visible only within that pairing.</t>
        </is>
      </c>
      <c r="G39" s="2" t="inlineStr"/>
    </row>
    <row r="40">
      <c r="A40" s="2" t="n">
        <v>39</v>
      </c>
      <c r="B40" s="2" t="inlineStr">
        <is>
          <t>Publisher Submission and Print-on-Demand</t>
        </is>
      </c>
      <c r="C40" s="2" t="inlineStr">
        <is>
          <t>Authoring, Editions &amp; Publication</t>
        </is>
      </c>
      <c r="D40" s="2" t="inlineStr">
        <is>
          <t>Chapter 60</t>
        </is>
      </c>
      <c r="E40" s="2" t="inlineStr">
        <is>
          <t>User-facingChapter 60Publisher / Author Accept a manuscript/title submission and route it into the publishing workflow.</t>
        </is>
      </c>
      <c r="F40" s="2" t="inlineStr">
        <is>
          <t>Structural rule: Rights validation precedes routing into the publishing workflow; an unvalidated submission does not enter it.</t>
        </is>
      </c>
      <c r="G40" s="2" t="inlineStr"/>
    </row>
    <row r="41">
      <c r="A41" s="2" t="n">
        <v>40</v>
      </c>
      <c r="B41" s="2" t="inlineStr">
        <is>
          <t>Market Analytics</t>
        </is>
      </c>
      <c r="C41" s="2" t="inlineStr">
        <is>
          <t>Authoring, Editions &amp; Publication</t>
        </is>
      </c>
      <c r="D41" s="2" t="inlineStr">
        <is>
          <t>§60.6</t>
        </is>
      </c>
      <c r="E41" s="2" t="inlineStr">
        <is>
          <t>User-facing§60.6Publisher Aggregate distribution and usage Fact Units for a title into standard reporting views.</t>
        </is>
      </c>
      <c r="F41" s="2" t="inlineStr">
        <is>
          <t>A total is the sum of per-region unit counts.</t>
        </is>
      </c>
      <c r="G41" s="2">
        <f>SUM(120,340,75)</f>
        <v/>
      </c>
    </row>
    <row r="42">
      <c r="A42" s="2" t="n">
        <v>41</v>
      </c>
      <c r="B42" s="2" t="inlineStr">
        <is>
          <t>Moderation Appeals</t>
        </is>
      </c>
      <c r="C42" s="2" t="inlineStr">
        <is>
          <t>Platform Governance &amp; Evolution</t>
        </is>
      </c>
      <c r="D42" s="2" t="inlineStr">
        <is>
          <t>Chapter 75</t>
        </is>
      </c>
      <c r="E42" s="2" t="inlineStr">
        <is>
          <t>User-facingChapter 75Reader / Author Affected identity submits an AppealUnit referencing the original moderation action's Provenance Ledger entry.</t>
        </is>
      </c>
      <c r="F42" s="2" t="inlineStr">
        <is>
          <t>Structural rule: An appeal is evaluated by a reviewer other than the moderator whose action is appealed, and references that action's ledger entry.</t>
        </is>
      </c>
      <c r="G42" s="2" t="inlineStr"/>
    </row>
    <row r="43">
      <c r="A43" s="2" t="n">
        <v>42</v>
      </c>
      <c r="B43" s="2" t="inlineStr">
        <is>
          <t>Data Export / Portability</t>
        </is>
      </c>
      <c r="C43" s="2" t="inlineStr">
        <is>
          <t>Access, Rights &amp; Retention</t>
        </is>
      </c>
      <c r="D43" s="2" t="inlineStr">
        <is>
          <t>Chapter 72</t>
        </is>
      </c>
      <c r="E43" s="2" t="inlineStr">
        <is>
          <t>User-facingChapter 72Reader / Author / Researcher Query all Fact Units the requesting identity has rights to within scope; serialize to the target open format with provenance attached; continued access is unaffected.</t>
        </is>
      </c>
      <c r="F43" s="2" t="inlineStr">
        <is>
          <t>Structural rule: Export covers exactly the Fact Units the requesting identity holds rights to; export is not conditioned on continuing entitlement and withdraws no access.</t>
        </is>
      </c>
      <c r="G43" s="2" t="inlineStr"/>
    </row>
    <row r="44">
      <c r="A44" s="2" t="n">
        <v>43</v>
      </c>
      <c r="B44" s="2" t="inlineStr">
        <is>
          <t>Accessibility Suite</t>
        </is>
      </c>
      <c r="C44" s="2" t="inlineStr">
        <is>
          <t>Authoring, Editions &amp; Publication</t>
        </is>
      </c>
      <c r="D44" s="2" t="inlineStr">
        <is>
          <t>Chapter 71</t>
        </is>
      </c>
      <c r="E44" s="2" t="inlineStr">
        <is>
          <t>User-facingChapter 71Reader Generate the required accessible-equivalent Fact Unit from the same source at production time; gate production-complete status on the equivalent's presence.</t>
        </is>
      </c>
      <c r="F44" s="2" t="inlineStr">
        <is>
          <t>Content is production-complete only if its accessible equivalent also exists.</t>
        </is>
      </c>
      <c r="G44" s="2">
        <f>IF(AND(TRUE(),TRUE()),"Production Complete","Incomplete - Missing Equivalent")</f>
        <v/>
      </c>
    </row>
    <row r="45">
      <c r="A45" s="2" t="n">
        <v>44</v>
      </c>
      <c r="B45" s="2" t="inlineStr">
        <is>
          <t>Precision Geometric/Color Registration</t>
        </is>
      </c>
      <c r="C45" s="2" t="inlineStr">
        <is>
          <t>World Model &amp; Perception</t>
        </is>
      </c>
      <c r="D45" s="2" t="inlineStr">
        <is>
          <t>§46.10.8</t>
        </is>
      </c>
      <c r="E45" s="2" t="inlineStr">
        <is>
          <t>User-facing§46.10.8 / Ch70Author Represent presenter reference material as Color Fact Units with a DeltaEThreshold; run the 3-pass Registration Constraint Graph solver; surface any drift finding rather than auto-correcting.</t>
        </is>
      </c>
      <c r="F45" s="2" t="inlineStr">
        <is>
          <t>ΔE (CIE76) computed per Waypoint transition; a finding is raised when ΔE exceeds the authored threshold.</t>
        </is>
      </c>
      <c r="G45" s="2">
        <f>SQRT((50-52)^2+(20-19)^2+((-10)-(-11))^2)</f>
        <v/>
      </c>
    </row>
    <row r="46">
      <c r="A46" s="2" t="n">
        <v>45</v>
      </c>
      <c r="B46" s="2" t="inlineStr">
        <is>
          <t>Geometric Proof Engine</t>
        </is>
      </c>
      <c r="C46" s="2" t="inlineStr">
        <is>
          <t>World Model &amp; Perception</t>
        </is>
      </c>
      <c r="D46" s="2" t="inlineStr">
        <is>
          <t>§70.9</t>
        </is>
      </c>
      <c r="E46" s="2" t="inlineStr">
        <is>
          <t>User-facing§70.9Researcher / Student Apply a fixed rule set to existing Geometry/Constraint Fact Units, producing a cited proof step for each derived relationship; halt on contradiction.</t>
        </is>
      </c>
      <c r="F46" s="2" t="inlineStr">
        <is>
          <t>Illustrates the complementary-angle rule with example angles 35°/55°.</t>
        </is>
      </c>
      <c r="G46" s="2">
        <f>IF(35+55=90,"Complementary","Not Complementary")</f>
        <v/>
      </c>
    </row>
    <row r="47">
      <c r="A47" s="2" t="n">
        <v>46</v>
      </c>
      <c r="B47" s="2" t="inlineStr">
        <is>
          <t>Human Reasoning and Motivation Modeling</t>
        </is>
      </c>
      <c r="C47" s="2" t="inlineStr">
        <is>
          <t>Inference, Prediction &amp; Calibration</t>
        </is>
      </c>
      <c r="D47" s="2" t="inlineStr">
        <is>
          <t>Chapter 80</t>
        </is>
      </c>
      <c r="E47" s="2" t="inlineStr">
        <is>
          <t>User-facingChapter 80Researcher Construct Goal/Motivation Fact Units with a mandatory Subject reference; represent pursuit via Scenario Graph PLANNING anchored to WASM Affordance data.</t>
        </is>
      </c>
      <c r="F47" s="2" t="inlineStr">
        <is>
          <t>Confidence in an inferred (vs. stated) motivation is discounted relative to a directly-stated one.</t>
        </is>
      </c>
      <c r="G47" s="2">
        <f>0.9*0.6</f>
        <v/>
      </c>
    </row>
    <row r="48">
      <c r="A48" s="2" t="n">
        <v>47</v>
      </c>
      <c r="B48" s="2" t="inlineStr">
        <is>
          <t>Autonomous Agent Connector</t>
        </is>
      </c>
      <c r="C48" s="2" t="inlineStr">
        <is>
          <t>External Integration &amp; Analysis</t>
        </is>
      </c>
      <c r="D48" s="2" t="inlineStr">
        <is>
          <t>§49.3.3.6</t>
        </is>
      </c>
      <c r="E48" s="2" t="inlineStr">
        <is>
          <t>User-facing§49.3.3.6Author / Publisher Dispatch a QBPL-compiled, declared action to a registered external agent per its Capability Declaration; log request/result to the Provenance Ledger.</t>
        </is>
      </c>
      <c r="F48" s="2" t="inlineStr">
        <is>
          <t>An action is only dispatched if it appears in the connector's declared capability set.</t>
        </is>
      </c>
      <c r="G48" s="2">
        <f>IF(COUNTIF({"schedule_event","send_invite"},"schedule_event")&gt;0,"Dispatch Allowed","Blocked - Undeclared")</f>
        <v/>
      </c>
    </row>
    <row r="49">
      <c r="A49" s="2" t="n">
        <v>48</v>
      </c>
      <c r="B49" s="2" t="inlineStr">
        <is>
          <t>Optional External Fact-Retrieval Connector</t>
        </is>
      </c>
      <c r="C49" s="2" t="inlineStr">
        <is>
          <t>External Integration &amp; Analysis</t>
        </is>
      </c>
      <c r="D49" s="2" t="inlineStr">
        <is>
          <t>Chapter 81</t>
        </is>
      </c>
      <c r="E49" s="2"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2" t="inlineStr">
        <is>
          <t>Core operation is invariant to connector presence: the mechanism set executed is identical whether or not an external fact-retrieval connector is registered.</t>
        </is>
      </c>
      <c r="G49" s="2">
        <f>IF(COUNTIF({"registered","absent"},"absent")&gt;0,"Core operates identically","Core operates identically")</f>
        <v/>
      </c>
    </row>
    <row r="50">
      <c r="A50" s="2" t="n">
        <v>49</v>
      </c>
      <c r="B50" s="2" t="inlineStr">
        <is>
          <t>Human-Directed Improvement Proposals</t>
        </is>
      </c>
      <c r="C50" s="2" t="inlineStr">
        <is>
          <t>Platform Governance &amp; Evolution</t>
        </is>
      </c>
      <c r="D50" s="2" t="inlineStr">
        <is>
          <t>§78.6</t>
        </is>
      </c>
      <c r="E50" s="2" t="inlineStr">
        <is>
          <t>User-facing§78.6Entitled Author / Admin Accept a directly-submitted Proposal Fact Unit from an entitled identity, bypassing telemetry-based identification but not the downstream sandbox/pre-screen/review stages.</t>
        </is>
      </c>
      <c r="F50" s="2" t="inlineStr">
        <is>
          <t>Structural rule: A human-submitted proposal enters the same evaluation and approval gate as a telemetry-identified one; bypassing telemetry does not bypass review.</t>
        </is>
      </c>
      <c r="G50" s="2" t="inlineStr"/>
    </row>
    <row r="51">
      <c r="A51" s="2" t="n">
        <v>50</v>
      </c>
      <c r="B51" s="2" t="inlineStr">
        <is>
          <t>Fact Unit Schema</t>
        </is>
      </c>
      <c r="C51" s="2" t="inlineStr">
        <is>
          <t>Knowledge Substrate</t>
        </is>
      </c>
      <c r="D51" s="2" t="inlineStr">
        <is>
          <t>Chapter 3 / Appendix A</t>
        </is>
      </c>
      <c r="E51" s="2" t="inlineStr">
        <is>
          <t>Every knowledge unit is instantiated with a fixed field set regardless of source modality or FactType.</t>
        </is>
      </c>
      <c r="F51" s="2" t="inlineStr">
        <is>
          <t>FUID is a deterministic function of (content, source, timestamp).</t>
        </is>
      </c>
      <c r="G51" s="2" t="inlineStr"/>
    </row>
    <row r="52">
      <c r="A52" s="2" t="n">
        <v>51</v>
      </c>
      <c r="B52" s="2" t="inlineStr">
        <is>
          <t>Multimodal Ingestion Pipeline</t>
        </is>
      </c>
      <c r="C52" s="2" t="inlineStr">
        <is>
          <t>Ingestion &amp; Sensory Intake</t>
        </is>
      </c>
      <c r="D52" s="2" t="inlineStr">
        <is>
          <t>Chapter 4</t>
        </is>
      </c>
      <c r="E52" s="2" t="inlineStr">
        <is>
          <t>Identify which of the eight defined modalities the incoming content matches.</t>
        </is>
      </c>
      <c r="F52" s="2" t="inlineStr">
        <is>
          <t>Detection selects the modality with the highest match score among the eight defined bits.</t>
        </is>
      </c>
      <c r="G52" s="2">
        <f>INDEX({"Text","Structured","Image","Audio","Video","Sensor","KG","Code"},MATCH(MAX({0.1,0.9,0.2,0.05,0.1,0,0,0}),{0.1,0.9,0.2,0.05,0.1,0,0,0},0))</f>
        <v/>
      </c>
    </row>
    <row r="53">
      <c r="A53" s="2" t="n">
        <v>52</v>
      </c>
      <c r="B53" s="2" t="inlineStr">
        <is>
          <t>Classification Fallback</t>
        </is>
      </c>
      <c r="C53" s="2" t="inlineStr">
        <is>
          <t>Ingestion &amp; Sensory Intake</t>
        </is>
      </c>
      <c r="D53" s="2" t="inlineStr">
        <is>
          <t>§4.2.1</t>
        </is>
      </c>
      <c r="E53" s="2" t="inlineStr">
        <is>
          <t>Attempt best-effort resolution to the nearest of the eight modalities; halt with a stated reason where no reasonable resolution exists.</t>
        </is>
      </c>
      <c r="F53" s="2" t="inlineStr">
        <is>
          <t>Resolution proceeds only if best-match confidence clears a minimum threshold; otherwise halt.</t>
        </is>
      </c>
      <c r="G53" s="2">
        <f>IF(0.3&gt;=0.5,"Resolve to Nearest Modality","Halt - Unclassified")</f>
        <v/>
      </c>
    </row>
    <row r="54">
      <c r="A54" s="2" t="n">
        <v>53</v>
      </c>
      <c r="B54" s="2" t="inlineStr">
        <is>
          <t>Provenance Ledger</t>
        </is>
      </c>
      <c r="C54" s="2" t="inlineStr">
        <is>
          <t>Knowledge Substrate</t>
        </is>
      </c>
      <c r="D54" s="2" t="inlineStr">
        <is>
          <t>Chapter 5</t>
        </is>
      </c>
      <c r="E54" s="2" t="inlineStr">
        <is>
          <t>Append each consequential operation as a node in a Merkle DAG; compute a keyed checksum sufficient to detect a Safety Substrate bypass.</t>
        </is>
      </c>
      <c r="F54" s="2" t="inlineStr">
        <is>
          <t>A checksum mismatch indicates the recorded safety evaluation does not match what actually ran.</t>
        </is>
      </c>
      <c r="G54" s="2">
        <f>IF("A1B2C3"="A1B2C3","Checksum Valid","Bypass Detected")</f>
        <v/>
      </c>
    </row>
    <row r="55">
      <c r="A55" s="2" t="n">
        <v>54</v>
      </c>
      <c r="B55" s="2" t="inlineStr">
        <is>
          <t>Ontology Mesh</t>
        </is>
      </c>
      <c r="C55" s="2" t="inlineStr">
        <is>
          <t>Ontology &amp; Conceptual Structure</t>
        </is>
      </c>
      <c r="D55" s="2" t="inlineStr">
        <is>
          <t>Chapter 6</t>
        </is>
      </c>
      <c r="E55" s="2" t="inlineStr">
        <is>
          <t>Build relationship edges between Fact Units only where the underlying facts actually connect, not from statistical co-occurrence.</t>
        </is>
      </c>
      <c r="F55" s="2" t="inlineStr">
        <is>
          <t>An edge is created only if a real, named relationship type applies.</t>
        </is>
      </c>
      <c r="G55" s="2">
        <f>IF(COUNTIF({"causal","comparative","shared-entity"},"causal")&gt;0,"Edge Created","No Edge")</f>
        <v/>
      </c>
    </row>
    <row r="56">
      <c r="A56" s="2" t="n">
        <v>55</v>
      </c>
      <c r="B56" s="2" t="inlineStr">
        <is>
          <t>Neuromorphic Cognitive Layer / Attractor Network</t>
        </is>
      </c>
      <c r="C56" s="2" t="inlineStr">
        <is>
          <t>Retrieval &amp; Response</t>
        </is>
      </c>
      <c r="D56" s="2" t="inlineStr">
        <is>
          <t>Chapter 7</t>
        </is>
      </c>
      <c r="E56" s="2" t="inlineStr">
        <is>
          <t>Given an initial candidate activation set, iteratively update each activation using neighboring weighted activations until convergence.</t>
        </is>
      </c>
      <c r="F56" s="2" t="inlineStr">
        <is>
          <t>a_i(t+1) = sign( Σ_j W_ij × a_j(t) − θ_i ), reliable capacity ≈ 0.14N stable patterns for N units.</t>
        </is>
      </c>
      <c r="G56" s="2">
        <f>SIGN(SUMPRODUCT({0.5,0.3,-0.2},{1,1,0})-0.1)</f>
        <v/>
      </c>
    </row>
    <row r="57">
      <c r="A57" s="2" t="n">
        <v>56</v>
      </c>
      <c r="B57" s="2" t="inlineStr">
        <is>
          <t>Safety Substrate</t>
        </is>
      </c>
      <c r="C57" s="2" t="inlineStr">
        <is>
          <t>Prime Directive</t>
        </is>
      </c>
      <c r="D57" s="2" t="inlineStr">
        <is>
          <t>Chapter 8</t>
        </is>
      </c>
      <c r="E57" s="2" t="inlineStr">
        <is>
          <t>Evaluate every operation against SafetyFlags-derived rules at each mandatory, synchronous enforcement point.</t>
        </is>
      </c>
      <c r="F57" s="2" t="inlineStr">
        <is>
          <t>An operation proceeds only if it passes every one of its applicable gates.</t>
        </is>
      </c>
      <c r="G57" s="2">
        <f>IF(AND(TRUE(),TRUE(),TRUE()),"Proceed","Blocked at Gate")</f>
        <v/>
      </c>
    </row>
    <row r="58">
      <c r="A58" s="2" t="n">
        <v>57</v>
      </c>
      <c r="B58" s="2" t="inlineStr">
        <is>
          <t>Semantic Transport Layer</t>
        </is>
      </c>
      <c r="C58" s="2" t="inlineStr">
        <is>
          <t>Retrieval &amp; Response</t>
        </is>
      </c>
      <c r="D58" s="2" t="inlineStr">
        <is>
          <t>Chapter 9</t>
        </is>
      </c>
      <c r="E58" s="2" t="inlineStr">
        <is>
          <t>Route Fact Units between subsystems based on FactType and subscriber-declared filter predicates.</t>
        </is>
      </c>
      <c r="F58" s="2" t="inlineStr">
        <is>
          <t>A subscriber receives a Fact Unit only if it matches every declared filter predicate.</t>
        </is>
      </c>
      <c r="G58" s="2">
        <f>IF(AND(TRUE(),TRUE()),"Delivered to Subscriber","Filtered Out")</f>
        <v/>
      </c>
    </row>
    <row r="59">
      <c r="A59" s="2" t="n">
        <v>58</v>
      </c>
      <c r="B59" s="2" t="inlineStr">
        <is>
          <t>Predictive Inference Engine (PIE)</t>
        </is>
      </c>
      <c r="C59" s="2" t="inlineStr">
        <is>
          <t>Inference, Prediction &amp; Calibration</t>
        </is>
      </c>
      <c r="D59" s="2" t="inlineStr">
        <is>
          <t>Chapter 10</t>
        </is>
      </c>
      <c r="E59" s="2" t="inlineStr">
        <is>
          <t>Integrate four input streams into a probabilistic forward projection of future knowledge states, with confidence intervals.</t>
        </is>
      </c>
      <c r="F59" s="2" t="inlineStr">
        <is>
          <t>Illustrates the trend-projection component only — output is an interval estimate, not a single deterministic value.</t>
        </is>
      </c>
      <c r="G59" s="2">
        <f>TREND({10,12,14,16},{1,2,3,4},5)</f>
        <v/>
      </c>
    </row>
    <row r="60">
      <c r="A60" s="2" t="n">
        <v>59</v>
      </c>
      <c r="B60" s="2" t="inlineStr">
        <is>
          <t>Scenario Graph</t>
        </is>
      </c>
      <c r="C60" s="2" t="inlineStr">
        <is>
          <t>Inference, Prediction &amp; Calibration</t>
        </is>
      </c>
      <c r="D60" s="2" t="inlineStr">
        <is>
          <t>Chapter 11</t>
        </is>
      </c>
      <c r="E60" s="2" t="inlineStr">
        <is>
          <t>Represent a hypothetical as a Knowledge State Snapshot delta rather than copying the full graph; prune low-probability branches against a threshold.</t>
        </is>
      </c>
      <c r="F60" s="2" t="inlineStr">
        <is>
          <t>A branch is pruned when its probability falls below the configured threshold.</t>
        </is>
      </c>
      <c r="G60" s="2">
        <f>IF(0.03&lt;0.05,"Prune Branch","Retain Branch")</f>
        <v/>
      </c>
    </row>
    <row r="61">
      <c r="A61" s="2" t="n">
        <v>60</v>
      </c>
      <c r="B61" s="2" t="inlineStr">
        <is>
          <t>Narrative Graph</t>
        </is>
      </c>
      <c r="C61" s="2" t="inlineStr">
        <is>
          <t>Grounded Expression</t>
        </is>
      </c>
      <c r="D61" s="2" t="inlineStr">
        <is>
          <t>Chapter 12</t>
        </is>
      </c>
      <c r="E61" s="2" t="inlineStr">
        <is>
          <t>Construct typed edges between Fact Units to mediate response composition; flag narrative gaps where no supporting edge exists.</t>
        </is>
      </c>
      <c r="F61" s="2" t="inlineStr">
        <is>
          <t>Structural rule: Every Narrative Graph edge references at least one Fact Unit; an edge without such a reference is not constructed.</t>
        </is>
      </c>
      <c r="G61" s="2" t="inlineStr"/>
    </row>
    <row r="62">
      <c r="A62" s="2" t="n">
        <v>61</v>
      </c>
      <c r="B62" s="2" t="inlineStr">
        <is>
          <t>QueryBook Format (QBF)</t>
        </is>
      </c>
      <c r="C62" s="2" t="inlineStr">
        <is>
          <t>Knowledge Substrate</t>
        </is>
      </c>
      <c r="D62" s="2" t="inlineStr">
        <is>
          <t>Chapter 13</t>
        </is>
      </c>
      <c r="E62" s="2" t="inlineStr">
        <is>
          <t>Serialize Fact Units to a binary frame format permitting resynchronization to the next valid frame after corrupted data.</t>
        </is>
      </c>
      <c r="F62" s="2" t="inlineStr">
        <is>
          <t>Structural rule: A frame boundary is recoverable without reparsing the preceding frame, so a corrupt frame costs one frame rather than the stream.</t>
        </is>
      </c>
      <c r="G62" s="2" t="inlineStr"/>
    </row>
    <row r="63">
      <c r="A63" s="2" t="n">
        <v>62</v>
      </c>
      <c r="B63" s="2" t="inlineStr">
        <is>
          <t>Storage Architecture</t>
        </is>
      </c>
      <c r="C63" s="2" t="inlineStr">
        <is>
          <t>Knowledge Substrate</t>
        </is>
      </c>
      <c r="D63" s="2" t="inlineStr">
        <is>
          <t>Chapter 14</t>
        </is>
      </c>
      <c r="E63" s="2" t="inlineStr">
        <is>
          <t>Tier Fact Units across storage layers by access-recency/frequency; index for similarity and exact-match retrieval.</t>
        </is>
      </c>
      <c r="F63" s="2" t="inlineStr">
        <is>
          <t>A Fact Unit is promoted to a hotter tier once its access count exceeds a threshold.</t>
        </is>
      </c>
      <c r="G63" s="2">
        <f>IF(42&gt;20,"Promote to Hot Tier","Remain in Current Tier")</f>
        <v/>
      </c>
    </row>
    <row r="64">
      <c r="A64" s="2" t="n">
        <v>63</v>
      </c>
      <c r="B64" s="2" t="inlineStr">
        <is>
          <t>AGI Extension Modules (AEM)</t>
        </is>
      </c>
      <c r="C64" s="2" t="inlineStr">
        <is>
          <t>Inference, Prediction &amp; Calibration</t>
        </is>
      </c>
      <c r="D64" s="2" t="inlineStr">
        <is>
          <t>Chapter 15</t>
        </is>
      </c>
      <c r="E64" s="2" t="inlineStr">
        <is>
          <t>Synthesize a new derived insight from multiple existing Fact Units where no single Fact Unit directly answers a query.</t>
        </is>
      </c>
      <c r="F64" s="2" t="inlineStr">
        <is>
          <t>A synthesized insight carries a confidence trajectory distinct from, and generally lower than, any single contributing fact.</t>
        </is>
      </c>
      <c r="G64" s="2">
        <f>MIN(0.8,0.75)</f>
        <v/>
      </c>
    </row>
    <row r="65">
      <c r="A65" s="2" t="n">
        <v>64</v>
      </c>
      <c r="B65" s="2" t="inlineStr">
        <is>
          <t>Multilingual Regeneration Engine (MRE)</t>
        </is>
      </c>
      <c r="C65" s="2" t="inlineStr">
        <is>
          <t>Grounded Expression</t>
        </is>
      </c>
      <c r="D65" s="2" t="inlineStr">
        <is>
          <t>Chapter 16</t>
        </is>
      </c>
      <c r="E65" s="2" t="inlineStr">
        <is>
          <t>Regenerate output in a target language directly from the language-independent Narrative Graph and SemanticHash-linked Fact Units.</t>
        </is>
      </c>
      <c r="F65" s="2" t="inlineStr">
        <is>
          <t>Back-translation of a regenerated output must yield a SemanticHash within the configured distance of the original (§16.5).</t>
        </is>
      </c>
      <c r="G65" s="2">
        <f>IF(0.04&lt;=0.05,"Round-trip within tolerance","Regeneration rejected")</f>
        <v/>
      </c>
    </row>
    <row r="66">
      <c r="A66" s="2" t="n">
        <v>65</v>
      </c>
      <c r="B66" s="2" t="inlineStr">
        <is>
          <t>Cross-Domain Rule Engine (CDRE)</t>
        </is>
      </c>
      <c r="C66" s="2" t="inlineStr">
        <is>
          <t>Ontology &amp; Conceptual Structure</t>
        </is>
      </c>
      <c r="D66" s="2" t="inlineStr">
        <is>
          <t>Chapter 17</t>
        </is>
      </c>
      <c r="E66" s="2" t="inlineStr">
        <is>
          <t>Evaluate a probabilistically-weighted, temporally-scoped rule set incrementally, maintaining a persistent Conflict Index.</t>
        </is>
      </c>
      <c r="F66" s="2" t="inlineStr">
        <is>
          <t>A contradiction entry is added to the index when two active rules produce incompatible conclusions.</t>
        </is>
      </c>
      <c r="G66" s="2">
        <f>IF("true"&lt;&gt;"false","Contradiction Logged","Consistent")</f>
        <v/>
      </c>
    </row>
    <row r="67">
      <c r="A67" s="2" t="n">
        <v>66</v>
      </c>
      <c r="B67" s="2" t="inlineStr">
        <is>
          <t>QBQL (execution floor)</t>
        </is>
      </c>
      <c r="C67" s="2" t="inlineStr">
        <is>
          <t>Retrieval &amp; Response</t>
        </is>
      </c>
      <c r="D67" s="2" t="inlineStr">
        <is>
          <t>Chapter 18</t>
        </is>
      </c>
      <c r="E67" s="2" t="inlineStr">
        <is>
          <t>Execute a declarative query as a read-only graph traversal with no mutation or control-flow capability.</t>
        </is>
      </c>
      <c r="F67" s="2" t="inlineStr">
        <is>
          <t>Pure function of (query, state) — no hidden state carried between evaluations.</t>
        </is>
      </c>
      <c r="G67" s="2" t="inlineStr"/>
    </row>
    <row r="68">
      <c r="A68" s="2" t="n">
        <v>67</v>
      </c>
      <c r="B68" s="2" t="inlineStr">
        <is>
          <t>QBPL (bounded program layer)</t>
        </is>
      </c>
      <c r="C68" s="2" t="inlineStr">
        <is>
          <t>Retrieval &amp; Response</t>
        </is>
      </c>
      <c r="D68" s="2" t="inlineStr">
        <is>
          <t>§48.3, §48.5</t>
        </is>
      </c>
      <c r="E68" s="2" t="inlineStr">
        <is>
          <t>Compile to one of nine fixed primitives; REPEAT-UNTIL-BOUND enforces a hard iteration ceiling at compile time.</t>
        </is>
      </c>
      <c r="F68" s="2" t="inlineStr">
        <is>
          <t>Primitive set is finite (|P| = 9); non-Turing-complete by construction.</t>
        </is>
      </c>
      <c r="G68" s="2">
        <f>MIN(150,100)</f>
        <v/>
      </c>
    </row>
    <row r="69">
      <c r="A69" s="2" t="n">
        <v>68</v>
      </c>
      <c r="B69" s="2" t="inlineStr">
        <is>
          <t>Clarification Generation Engine</t>
        </is>
      </c>
      <c r="C69" s="2" t="inlineStr">
        <is>
          <t>Retrieval &amp; Response</t>
        </is>
      </c>
      <c r="D69" s="2" t="inlineStr">
        <is>
          <t>Chapter 37</t>
        </is>
      </c>
      <c r="E69" s="2" t="inlineStr">
        <is>
          <t>Detect genuine referential ambiguity or a repetition/frustration signal; generate an anchored clarifying question rather than guessing.</t>
        </is>
      </c>
      <c r="F69" s="2" t="inlineStr">
        <is>
          <t>Ambiguity is flagged when top-candidate confidence scores are too close to separate.</t>
        </is>
      </c>
      <c r="G69" s="2">
        <f>IF(ABS(0.51-0.49)&lt;0.1,"Ask Clarifying Question","Proceed")</f>
        <v/>
      </c>
    </row>
    <row r="70">
      <c r="A70" s="2" t="n">
        <v>69</v>
      </c>
      <c r="B70" s="2" t="inlineStr">
        <is>
          <t>Natural Language Interaction Layer (NLIL)</t>
        </is>
      </c>
      <c r="C70" s="2" t="inlineStr">
        <is>
          <t>Retrieval &amp; Response</t>
        </is>
      </c>
      <c r="D70" s="2" t="inlineStr">
        <is>
          <t>Chapter 50</t>
        </is>
      </c>
      <c r="E70" s="2" t="inlineStr">
        <is>
          <t>Select vocabulary, structural format, and explanatory depth for phrasing based on inferred audience profile; the underlying fact is never altered.</t>
        </is>
      </c>
      <c r="F70" s="2" t="inlineStr">
        <is>
          <t>The selected audience profile must resolve to a defined expertise level; the underlying Fact Unit is never altered by the selection.</t>
        </is>
      </c>
      <c r="G70" s="2">
        <f>IF(AND(4&gt;=1,4&lt;=7),"Audience profile applied; fact unaltered","Refused - expertise level out of range")</f>
        <v/>
      </c>
    </row>
    <row r="71">
      <c r="A71" s="2" t="n">
        <v>70</v>
      </c>
      <c r="B71" s="2" t="inlineStr">
        <is>
          <t>Fact Universe Architecture</t>
        </is>
      </c>
      <c r="C71" s="2" t="inlineStr">
        <is>
          <t>Retrieval &amp; Response</t>
        </is>
      </c>
      <c r="D71" s="2" t="inlineStr">
        <is>
          <t>Chapter 51</t>
        </is>
      </c>
      <c r="E71" s="2" t="inlineStr">
        <is>
          <t>Define the structural relationship between the Fact Graph, Ontology Mesh, and Provenance Ledger as coordinated views over one substrate.</t>
        </is>
      </c>
      <c r="F71" s="2" t="inlineStr">
        <is>
          <t>Structural rule: The Fact Graph, Ontology Mesh and Provenance Ledger are addressable as one structure over which a single scope description resolves.</t>
        </is>
      </c>
      <c r="G71" s="2" t="inlineStr"/>
    </row>
    <row r="72">
      <c r="A72" s="2" t="n">
        <v>71</v>
      </c>
      <c r="B72" s="2" t="inlineStr">
        <is>
          <t>Adaptive Response Engine (ARE, pipeline)</t>
        </is>
      </c>
      <c r="C72" s="2" t="inlineStr">
        <is>
          <t>Retrieval &amp; Response</t>
        </is>
      </c>
      <c r="D72" s="2" t="inlineStr">
        <is>
          <t>§52.8</t>
        </is>
      </c>
      <c r="E72" s="2" t="inlineStr">
        <is>
          <t>Analyze the candidate Fact Units retrieved for a specific query.</t>
        </is>
      </c>
      <c r="F72" s="2" t="inlineStr">
        <is>
          <t>Structural rule: Response profile resolution completes before generation begins; the directive is fixed for the response and is not renegotiated mid-generation.</t>
        </is>
      </c>
      <c r="G72" s="2" t="inlineStr"/>
    </row>
    <row r="73">
      <c r="A73" s="2" t="n">
        <v>72</v>
      </c>
      <c r="B73" s="2" t="inlineStr">
        <is>
          <t>World Aware System Model (WASM)</t>
        </is>
      </c>
      <c r="C73" s="2" t="inlineStr">
        <is>
          <t>World Model &amp; Perception</t>
        </is>
      </c>
      <c r="D73" s="2" t="inlineStr">
        <is>
          <t>Chapter 53</t>
        </is>
      </c>
      <c r="E73" s="2" t="inlineStr">
        <is>
          <t>Maintain Object, Relation, Physics, and Affordance layers as Fact Units, queryable by IQR for scene instantiation.</t>
        </is>
      </c>
      <c r="F73" s="2" t="inlineStr">
        <is>
          <t>Structural rule: Object, Relation, Physics and Affordance layers are maintained as Fact Units and are queryable on the same terms as any other record.</t>
        </is>
      </c>
      <c r="G73" s="2" t="inlineStr"/>
    </row>
    <row r="74">
      <c r="A74" s="2" t="n">
        <v>73</v>
      </c>
      <c r="B74" s="2" t="inlineStr">
        <is>
          <t>Conceptual Memory Layer (CML)</t>
        </is>
      </c>
      <c r="C74" s="2" t="inlineStr">
        <is>
          <t>Ontology &amp; Conceptual Structure</t>
        </is>
      </c>
      <c r="D74" s="2" t="inlineStr">
        <is>
          <t>Chapter 54</t>
        </is>
      </c>
      <c r="E74" s="2" t="inlineStr">
        <is>
          <t>Persist long-term, stable world-model abstractions distinct from the transient Cognitive Context Window.</t>
        </is>
      </c>
      <c r="F74" s="2" t="inlineStr">
        <is>
          <t>Structural rule: An abstraction persisted to long-term store retains the generalized concept and discards the episode it derived from.</t>
        </is>
      </c>
      <c r="G74" s="2" t="inlineStr"/>
    </row>
    <row r="75">
      <c r="A75" s="2" t="n">
        <v>74</v>
      </c>
      <c r="B75" s="2" t="inlineStr">
        <is>
          <t>Sensory Abstraction Pipeline (SAP)</t>
        </is>
      </c>
      <c r="C75" s="2" t="inlineStr">
        <is>
          <t>Ingestion &amp; Sensory Intake</t>
        </is>
      </c>
      <c r="D75" s="2" t="inlineStr">
        <is>
          <t>Chapter 55</t>
        </is>
      </c>
      <c r="E75" s="2" t="inlineStr">
        <is>
          <t>Reduce raw perceptual input to structured concept-level Fact Units suitable for WASM/CML consumption.</t>
        </is>
      </c>
      <c r="F75" s="2" t="inlineStr">
        <is>
          <t>Structural rule: Raw perceptual input is reduced to concept-level records before admission; no raw episode is admitted to the concept store.</t>
        </is>
      </c>
      <c r="G75" s="2" t="inlineStr"/>
    </row>
    <row r="76">
      <c r="A76" s="2" t="n">
        <v>75</v>
      </c>
      <c r="B76" s="2" t="inlineStr">
        <is>
          <t>VCUM Semantic Colorization Engine (SCE)</t>
        </is>
      </c>
      <c r="C76" s="2" t="inlineStr">
        <is>
          <t>Authoring, Editions &amp; Publication</t>
        </is>
      </c>
      <c r="D76" s="2" t="inlineStr">
        <is>
          <t>§44.3.1</t>
        </is>
      </c>
      <c r="E76" s="2" t="inlineStr">
        <is>
          <t>Infer color for content lacking reliable existing color information from material class, lighting, and historical priors.</t>
        </is>
      </c>
      <c r="F76" s="2" t="inlineStr">
        <is>
          <t>Deterministic: identical inputs always yield the identical inferred color.</t>
        </is>
      </c>
      <c r="G76" s="2" t="inlineStr"/>
    </row>
    <row r="77">
      <c r="A77" s="2" t="n">
        <v>76</v>
      </c>
      <c r="B77" s="2" t="inlineStr">
        <is>
          <t>VCUM Agent Specifications</t>
        </is>
      </c>
      <c r="C77" s="2" t="inlineStr">
        <is>
          <t>Authoring, Editions &amp; Publication</t>
        </is>
      </c>
      <c r="D77" s="2" t="inlineStr">
        <is>
          <t>Chapter 45</t>
        </is>
      </c>
      <c r="E77" s="2" t="inlineStr">
        <is>
          <t>Define the per-agent task decomposition within the VCUM restoration pipeline.</t>
        </is>
      </c>
      <c r="F77" s="2" t="inlineStr">
        <is>
          <t>Structural rule: Each restoration agent performs exactly the task its specification declares; an agent performs no task outside its declared decomposition.</t>
        </is>
      </c>
      <c r="G77" s="2" t="inlineStr"/>
    </row>
    <row r="78">
      <c r="A78" s="2" t="n">
        <v>77</v>
      </c>
      <c r="B78" s="2" t="inlineStr">
        <is>
          <t>Live Fact Graph</t>
        </is>
      </c>
      <c r="C78" s="2" t="inlineStr">
        <is>
          <t>External Integration &amp; Analysis</t>
        </is>
      </c>
      <c r="D78" s="2" t="inlineStr">
        <is>
          <t>§49.2</t>
        </is>
      </c>
      <c r="E78" s="2" t="inlineStr">
        <is>
          <t>Maintain a continuously-updating layer of the Fact Graph reflecting the most recent ingested/inferred state.</t>
        </is>
      </c>
      <c r="F78" s="2" t="inlineStr">
        <is>
          <t>Structural rule: The live layer is read as an overlay on the committed layer; a provisional provenance reference is finalized on durable write and never altered thereafter.</t>
        </is>
      </c>
      <c r="G78" s="2" t="inlineStr"/>
    </row>
    <row r="79">
      <c r="A79" s="2" t="n">
        <v>78</v>
      </c>
      <c r="B79" s="2" t="inlineStr">
        <is>
          <t>Continuous Query Engine (CQE)</t>
        </is>
      </c>
      <c r="C79" s="2" t="inlineStr">
        <is>
          <t>External Integration &amp; Analysis</t>
        </is>
      </c>
      <c r="D79" s="2" t="inlineStr">
        <is>
          <t>§49.5</t>
        </is>
      </c>
      <c r="E79" s="2" t="inlineStr">
        <is>
          <t>Register a WATCH program with a trigger clause; re-evaluate on every relevant update, re-checking Prime Directive compliance at each firing.</t>
        </is>
      </c>
      <c r="F79" s="2" t="inlineStr">
        <is>
          <t>Re-evaluation happens on every firing, not once at registration — the count of checks equals the count of firings.</t>
        </is>
      </c>
      <c r="G79" s="2">
        <f>5*1</f>
        <v/>
      </c>
    </row>
    <row r="80">
      <c r="A80" s="2" t="n">
        <v>79</v>
      </c>
      <c r="B80" s="2" t="inlineStr">
        <is>
          <t>Structural Groundedness Enforcement</t>
        </is>
      </c>
      <c r="C80" s="2" t="inlineStr">
        <is>
          <t>Grounded Expression</t>
        </is>
      </c>
      <c r="D80" s="2" t="inlineStr">
        <is>
          <t>§16 / Narrative Graph</t>
        </is>
      </c>
      <c r="E80" s="2" t="inlineStr">
        <is>
          <t>Restrict candidate output vocabulary to terms derivable from Narrative Graph edges traceable to supporting Fact Units; reject untraceable propositions.</t>
        </is>
      </c>
      <c r="F80" s="2" t="inlineStr">
        <is>
          <t>A proposition is rejected unless it traces to at least one supporting Fact Unit.</t>
        </is>
      </c>
      <c r="G80" s="2">
        <f>IF(1&gt;=1,"Include in Output","Reject - Ungrounded")</f>
        <v/>
      </c>
    </row>
    <row r="81">
      <c r="A81" s="2" t="n">
        <v>80</v>
      </c>
      <c r="B81" s="2" t="inlineStr">
        <is>
          <t>Offline Synchronization Layer</t>
        </is>
      </c>
      <c r="C81" s="2" t="inlineStr">
        <is>
          <t>Knowledge Substrate</t>
        </is>
      </c>
      <c r="D81" s="2" t="inlineStr">
        <is>
          <t>Chapter 68</t>
        </is>
      </c>
      <c r="E81" s="2" t="inlineStr">
        <is>
          <t>Select a sync mode based on connectivity; reconcile divergent offline/online states via version-vector comparison on reconnection.</t>
        </is>
      </c>
      <c r="F81" s="2" t="inlineStr">
        <is>
          <t>Reconciliation is required whenever the offline and online version vectors differ.</t>
        </is>
      </c>
      <c r="G81" s="2">
        <f>IF(4&lt;&gt;7,"Reconciliation Required","Already in Sync")</f>
        <v/>
      </c>
    </row>
    <row r="82">
      <c r="A82" s="2" t="n">
        <v>81</v>
      </c>
      <c r="B82" s="2" t="inlineStr">
        <is>
          <t>Portal / Role Model</t>
        </is>
      </c>
      <c r="C82" s="2" t="inlineStr">
        <is>
          <t>Access, Rights &amp; Retention</t>
        </is>
      </c>
      <c r="D82" s="2" t="inlineStr">
        <is>
          <t>Chapter 65</t>
        </is>
      </c>
      <c r="E82" s="2" t="inlineStr">
        <is>
          <t>AdminChapter 65Platform Admin Resolve an identity's accessible capabilities as the union of held Role(s) plus active capability grants, each evaluated independently.</t>
        </is>
      </c>
      <c r="F82" s="2" t="inlineStr">
        <is>
          <t>Access to a capability is the logical OR of role-based and grant-based access, never merged into a combined elevated set.</t>
        </is>
      </c>
      <c r="G82" s="2">
        <f>IF(OR(FALSE(),TRUE()),"Access Granted","Denied")</f>
        <v/>
      </c>
    </row>
    <row r="83">
      <c r="A83" s="2" t="n">
        <v>82</v>
      </c>
      <c r="B83" s="2" t="inlineStr">
        <is>
          <t>Improvement Proposal Pipeline</t>
        </is>
      </c>
      <c r="C83" s="2" t="inlineStr">
        <is>
          <t>Platform Governance &amp; Evolution</t>
        </is>
      </c>
      <c r="D83" s="2" t="inlineStr">
        <is>
          <t>Chapter 66</t>
        </is>
      </c>
      <c r="E83" s="2" t="inlineStr">
        <is>
          <t>AdminChapter 66Platform Admin Telemetry-driven or human-directed identification of a subsystem-scoped improvement candidate.</t>
        </is>
      </c>
      <c r="F83" s="2" t="inlineStr">
        <is>
          <t>Structural rule: A candidate is scoped to a single subsystem; a candidate targeting a member of the permanently-excluded set is refused at identification.</t>
        </is>
      </c>
      <c r="G83" s="2" t="inlineStr"/>
    </row>
    <row r="84">
      <c r="A84" s="2" t="n">
        <v>83</v>
      </c>
      <c r="B84" s="2" t="inlineStr">
        <is>
          <t>QueryBook AI Evolution (System Agents)</t>
        </is>
      </c>
      <c r="C84" s="2" t="inlineStr">
        <is>
          <t>Platform Governance &amp; Evolution</t>
        </is>
      </c>
      <c r="D84" s="2" t="inlineStr">
        <is>
          <t>Chapter 78</t>
        </is>
      </c>
      <c r="E84" s="2" t="inlineStr">
        <is>
          <t>AdminChapter 78Platform Admin A System Agent's Candidate Identification is bounded to its assigned subsystem; resulting proposals enter the identical pipeline as any human-originated candidate.</t>
        </is>
      </c>
      <c r="F84" s="2" t="inlineStr">
        <is>
          <t>An agent cannot approve its own or another agent's proposal.</t>
        </is>
      </c>
      <c r="G84" s="2">
        <f>IF("agent_3"="reviewer_id","Self-Approval Blocked","Independent Review Required")</f>
        <v/>
      </c>
    </row>
    <row r="85">
      <c r="A85" s="2" t="n">
        <v>84</v>
      </c>
      <c r="B85" s="2" t="inlineStr">
        <is>
          <t>Formal Verification Layer</t>
        </is>
      </c>
      <c r="C85" s="2" t="inlineStr">
        <is>
          <t>Platform Governance &amp; Evolution</t>
        </is>
      </c>
      <c r="D85" s="2" t="inlineStr">
        <is>
          <t>Chapter 79</t>
        </is>
      </c>
      <c r="E85" s="2" t="inlineStr">
        <is>
          <t>AdminChapter 79Platform Admin Generate a machine-checked proof of a precisely-stated property for a QBPL/WATCH program or proposal.</t>
        </is>
      </c>
      <c r="F85" s="2" t="inlineStr">
        <is>
          <t>Property truth is decidable over the bounded QBPL primitive set.</t>
        </is>
      </c>
      <c r="G85" s="2">
        <f>IF(TRUE(),"Property Proven","Proof Failed - Property False")</f>
        <v/>
      </c>
    </row>
    <row r="86">
      <c r="A86" s="2" t="n">
        <v>85</v>
      </c>
      <c r="B86" s="2" t="inlineStr">
        <is>
          <t>License and Entitlement Management</t>
        </is>
      </c>
      <c r="C86" s="2" t="inlineStr">
        <is>
          <t>Access, Rights &amp; Retention</t>
        </is>
      </c>
      <c r="D86" s="2" t="inlineStr">
        <is>
          <t>Chapter 67</t>
        </is>
      </c>
      <c r="E86" s="2" t="inlineStr">
        <is>
          <t>AdminChapter 67Platform Admin Map an organizational license to Role-scoped seats; check seat and entitlement status before granting access.</t>
        </is>
      </c>
      <c r="F86" s="2" t="inlineStr">
        <is>
          <t>Access requires both an available seat and the specific entitlement.</t>
        </is>
      </c>
      <c r="G86" s="2">
        <f>IF(AND(TRUE(),TRUE()),"Access Granted","Denied - Missing Seat or Entitlement")</f>
        <v/>
      </c>
    </row>
    <row r="87">
      <c r="A87" s="2" t="n">
        <v>86</v>
      </c>
      <c r="B87" s="2" t="inlineStr">
        <is>
          <t>QBCL-CMS (Configuration Management)</t>
        </is>
      </c>
      <c r="C87" s="2" t="inlineStr">
        <is>
          <t>Platform Governance &amp; Evolution</t>
        </is>
      </c>
      <c r="D87" s="2" t="inlineStr">
        <is>
          <t>Chapter 47</t>
        </is>
      </c>
      <c r="E87" s="2" t="inlineStr">
        <is>
          <t>AdminChapter 47Platform Admin Parse and apply platform-level configuration changes through a defined configuration language, versioned like any other change.</t>
        </is>
      </c>
      <c r="F87" s="2" t="inlineStr">
        <is>
          <t>Structural rule: A configuration change is versioned and recorded on the same terms as any other change; an unversioned change is not applied.</t>
        </is>
      </c>
      <c r="G87" s="2" t="inlineStr"/>
    </row>
    <row r="88">
      <c r="A88" s="2" t="n">
        <v>87</v>
      </c>
      <c r="B88" s="2" t="inlineStr">
        <is>
          <t>Source Connector Registry</t>
        </is>
      </c>
      <c r="C88" s="2" t="inlineStr">
        <is>
          <t>External Integration &amp; Analysis</t>
        </is>
      </c>
      <c r="D88" s="2" t="inlineStr">
        <is>
          <t>§49.3.3</t>
        </is>
      </c>
      <c r="E88" s="2" t="inlineStr">
        <is>
          <t>Admin§49.3.3Platform Admin / Author Register an external system against a fixed contract; evaluate every connector under the identical Trust Boundary regardless of name.</t>
        </is>
      </c>
      <c r="F88" s="2" t="inlineStr">
        <is>
          <t>Trust level is identical for every registered connector — not a function of the platform's name or popularity.</t>
        </is>
      </c>
      <c r="G88" s="2">
        <f>IF("Zoom"&lt;&gt;"Trust Level","Standard Trust Boundary","Standard Trust Boundary")</f>
        <v/>
      </c>
    </row>
    <row r="89">
      <c r="A89" s="2" t="n">
        <v>88</v>
      </c>
      <c r="B89" s="2" t="inlineStr">
        <is>
          <t>Robot Memory Domain (RMD)</t>
        </is>
      </c>
      <c r="C89" s="2" t="inlineStr">
        <is>
          <t>World Model &amp; Perception</t>
        </is>
      </c>
      <c r="D89" s="2" t="inlineStr">
        <is>
          <t>Chapter 56</t>
        </is>
      </c>
      <c r="E89" s="2" t="inlineStr">
        <is>
          <t>AdminChapter 56Integration Operator Ingest robot/agent sensor data into Fact Units; deliver structured knowledge back; support WATCH-driven continuous behavior.</t>
        </is>
      </c>
      <c r="F89" s="2" t="inlineStr">
        <is>
          <t>Structural rule: Sensor data enters through the ordinary ingestion path and structured knowledge is returned; no raw sensory episode from an agent is retained.</t>
        </is>
      </c>
      <c r="G89" s="2" t="inlineStr"/>
    </row>
    <row r="90">
      <c r="A90" s="2" t="n">
        <v>89</v>
      </c>
      <c r="B90" s="2" t="inlineStr">
        <is>
          <t>Template Debug Mode</t>
        </is>
      </c>
      <c r="C90" s="2" t="inlineStr">
        <is>
          <t>Platform Governance &amp; Evolution</t>
        </is>
      </c>
      <c r="D90" s="2" t="inlineStr">
        <is>
          <t>Chapter 73</t>
        </is>
      </c>
      <c r="E90" s="2" t="inlineStr">
        <is>
          <t>AdminChapter 73Platform Admin Pause execution at existing pipeline-stage boundaries, exposing Fact Unit bindings, Safety results, and Slice measurements at each pause.</t>
        </is>
      </c>
      <c r="F90" s="2" t="inlineStr">
        <is>
          <t>Structural rule: Instrumentation pauses at existing pipeline-stage boundaries of an actual execution; it introduces no stage and simulates none.</t>
        </is>
      </c>
      <c r="G90" s="2" t="inlineStr"/>
    </row>
    <row r="91">
      <c r="A91" s="2" t="n">
        <v>90</v>
      </c>
      <c r="B91" s="2" t="inlineStr">
        <is>
          <t>Processor Slice Measurement Model</t>
        </is>
      </c>
      <c r="C91" s="2" t="inlineStr">
        <is>
          <t>Platform Governance &amp; Evolution</t>
        </is>
      </c>
      <c r="D91" s="2" t="inlineStr">
        <is>
          <t>Chapter 69</t>
        </is>
      </c>
      <c r="E91" s="2" t="inlineStr">
        <is>
          <t>AdminChapter 69Platform Admin Classify and log the compute cost of every operation into a defined Slice category; Safety Gate and Recovery Slices are prioritized above all others.</t>
        </is>
      </c>
      <c r="F91" s="2" t="inlineStr">
        <is>
          <t>Safety Gate priority always outranks any other Slice category when contended.</t>
        </is>
      </c>
      <c r="G91" s="2">
        <f>IF("SafetyGate"="SafetyGate","Highest Priority","Standard Priority")</f>
        <v/>
      </c>
    </row>
    <row r="92">
      <c r="A92" s="2" t="n">
        <v>91</v>
      </c>
      <c r="B92" s="2" t="inlineStr">
        <is>
          <t>Validation and Benchmarking</t>
        </is>
      </c>
      <c r="C92" s="2" t="inlineStr">
        <is>
          <t>Platform Governance &amp; Evolution</t>
        </is>
      </c>
      <c r="D92" s="2" t="inlineStr">
        <is>
          <t>Chapter 77</t>
        </is>
      </c>
      <c r="E92" s="2" t="inlineStr">
        <is>
          <t>AdminChapter 77Platform Admin Define a reproducible benchmark for an existing design-target figure; run it and mark the figure validated or retract it.</t>
        </is>
      </c>
      <c r="F92" s="2" t="inlineStr">
        <is>
          <t>A design-target figure is validated only if the measured result falls within its stated tolerance.</t>
        </is>
      </c>
      <c r="G92" s="2">
        <f>IF(ABS(102-100)&lt;=5,"Validated","Retracted - Out of Tolerance")</f>
        <v/>
      </c>
    </row>
    <row r="93">
      <c r="A93" s="2" t="n">
        <v>92</v>
      </c>
      <c r="B93" s="2" t="inlineStr">
        <is>
          <t>Platform Internationalization</t>
        </is>
      </c>
      <c r="C93" s="2" t="inlineStr">
        <is>
          <t>Platform Governance &amp; Evolution</t>
        </is>
      </c>
      <c r="D93" s="2" t="inlineStr">
        <is>
          <t>Chapter 76</t>
        </is>
      </c>
      <c r="E93" s="2" t="inlineStr">
        <is>
          <t>AdminChapter 76Platform Admin Apply locale-specific presentation without altering Safety Substrate or Prime Directive evaluation in any locale.</t>
        </is>
      </c>
      <c r="F93" s="2" t="inlineStr">
        <is>
          <t>Safety evaluation outcome is identical regardless of locale.</t>
        </is>
      </c>
      <c r="G93" s="2">
        <f>IF(TRUE()=TRUE(),"Same Safety Outcome Every Locale","N/A")</f>
        <v/>
      </c>
    </row>
    <row r="94">
      <c r="A94" s="2" t="n">
        <v>93</v>
      </c>
      <c r="B94" s="2" t="inlineStr">
        <is>
          <t>Moderation Actions</t>
        </is>
      </c>
      <c r="C94" s="2" t="inlineStr">
        <is>
          <t>Platform Governance &amp; Evolution</t>
        </is>
      </c>
      <c r="D94" s="2" t="inlineStr">
        <is>
          <t>§64.4</t>
        </is>
      </c>
      <c r="E94" s="2" t="inlineStr">
        <is>
          <t>Admin§64.4Author / Instructor / Platform Admin Apply a flag/hide/lock/archive action to target content, logging moderator identity and reason; reversible only via Appeals.</t>
        </is>
      </c>
      <c r="F94" s="2" t="inlineStr">
        <is>
          <t>An action is applied only if the flag count for the content reaches the configured threshold.</t>
        </is>
      </c>
      <c r="G94" s="2">
        <f>IF(4&gt;=3,"Action Applied","Below Threshold - No Action")</f>
        <v/>
      </c>
    </row>
    <row r="95">
      <c r="A95" s="2" t="n">
        <v>94</v>
      </c>
      <c r="B95" s="2" t="inlineStr">
        <is>
          <t>Deployment Architecture</t>
        </is>
      </c>
      <c r="C95" s="2" t="inlineStr">
        <is>
          <t>Platform Governance &amp; Evolution</t>
        </is>
      </c>
      <c r="D95" s="2" t="inlineStr">
        <is>
          <t>Chapter 19</t>
        </is>
      </c>
      <c r="E95" s="2" t="inlineStr">
        <is>
          <t>AdminChapter 19Platform Admin Roll out an approved change in stages rather than all at once.</t>
        </is>
      </c>
      <c r="F95" s="2" t="inlineStr">
        <is>
          <t>Structural rule: Progression to each successive rollout stage is conditioned on the recorded human approval; no stage advances automatically.</t>
        </is>
      </c>
      <c r="G95" s="2" t="inlineStr"/>
    </row>
    <row r="96">
      <c r="A96" s="2" t="n">
        <v>95</v>
      </c>
      <c r="B96" s="2" t="inlineStr">
        <is>
          <t>Optional Blockchain Ownership-Verification Connector</t>
        </is>
      </c>
      <c r="C96" s="2" t="inlineStr">
        <is>
          <t>External Integration &amp; Analysis</t>
        </is>
      </c>
      <c r="D96" s="2" t="inlineStr">
        <is>
          <t>§49.3.3.8</t>
        </is>
      </c>
      <c r="E96" s="2" t="inlineStr">
        <is>
          <t>Admin§49.3.3.8Publisher On a resale/transfer request for a title with this connector registered, dispatch a verification query to the external service; QueryBook remains the requesting party only.</t>
        </is>
      </c>
      <c r="F96" s="2" t="inlineStr">
        <is>
          <t>Structural rule: A verification request is dispatched only for the specific title and only to the requesting party; no ownership record is retained by the system.</t>
        </is>
      </c>
      <c r="G96" s="2" t="inlineStr"/>
    </row>
    <row r="97">
      <c r="A97" s="2" t="n">
        <v>96</v>
      </c>
      <c r="B97" s="2" t="inlineStr">
        <is>
          <t>Live Interaction Voice Signal Analysis</t>
        </is>
      </c>
      <c r="C97" s="2" t="inlineStr">
        <is>
          <t>External Integration &amp; Analysis</t>
        </is>
      </c>
      <c r="D97" s="2" t="inlineStr">
        <is>
          <t>Chapter 87</t>
        </is>
      </c>
      <c r="E97" s="2" t="inlineStr">
        <is>
          <t>User-facingChapter 87Reader If user has opted in for the session, extract prosodic features from live audio and feed as an optional trigger to the Clarification Generation Engine; discard on session end unless separately retained.</t>
        </is>
      </c>
      <c r="F97" s="2" t="inlineStr">
        <is>
          <t>Analysis runs only where session consent is active and the prosodic salience clears the trigger threshold.</t>
        </is>
      </c>
      <c r="G97" s="2">
        <f>IF(AND(TRUE(),0.71&gt;=0.65),"Clarification trigger raised","No trigger")</f>
        <v/>
      </c>
    </row>
    <row r="98">
      <c r="A98" s="2" t="n">
        <v>97</v>
      </c>
      <c r="B98" s="2" t="inlineStr">
        <is>
          <t>World-View Model (WVM)</t>
        </is>
      </c>
      <c r="C98" s="2" t="inlineStr">
        <is>
          <t>World Model &amp; Perception</t>
        </is>
      </c>
      <c r="D98" s="2" t="inlineStr">
        <is>
          <t>§42.2.1System</t>
        </is>
      </c>
      <c r="E98" s="2" t="inlineStr">
        <is>
          <t>Maintain the native ontological, causal, and temporal structure underlying QueryBook's own reasoning, distinct from WASM's world-model domain and from any external hypergraph substrate.</t>
        </is>
      </c>
      <c r="F98" s="2" t="inlineStr">
        <is>
          <t>Structural rule: The ontological, causal and temporal structure is maintained natively; no external model is required to express it.</t>
        </is>
      </c>
      <c r="G98" s="2" t="inlineStr"/>
    </row>
    <row r="99">
      <c r="A99" s="2" t="n">
        <v>98</v>
      </c>
      <c r="B99" s="2" t="inlineStr">
        <is>
          <t>Contextual Commerce Layer</t>
        </is>
      </c>
      <c r="C99" s="2" t="inlineStr">
        <is>
          <t>Commerce &amp; Entitlement Tokens</t>
        </is>
      </c>
      <c r="D99" s="2" t="inlineStr">
        <is>
          <t>Chapter 88</t>
        </is>
      </c>
      <c r="E99" s="2" t="inlineStr">
        <is>
          <t>User-facingChapter 88Reader After grounded answer is fully computed, resolve query's concept_id; match against registered commerce sources; render in separate labeled region.</t>
        </is>
      </c>
      <c r="F99" s="2" t="inlineStr">
        <is>
          <t>priority(Commerce Slice) &lt; priority(Safety Gate Slice) for all t</t>
        </is>
      </c>
      <c r="G99" s="2">
        <f>IF(AND(A2="grounded_complete",B2="concept_resolved"),"eligible_for_commerce_match","blocked")</f>
        <v/>
      </c>
    </row>
    <row r="100">
      <c r="A100" s="2" t="n">
        <v>99</v>
      </c>
      <c r="B100" s="2" t="inlineStr">
        <is>
          <t>Commerce Processing Slice and Selection Weighting</t>
        </is>
      </c>
      <c r="C100" s="2" t="inlineStr">
        <is>
          <t>Commerce &amp; Entitlement Tokens</t>
        </is>
      </c>
      <c r="D100" s="2" t="inlineStr">
        <is>
          <t>§88.8–§88.9System</t>
        </is>
      </c>
      <c r="E100" s="2" t="inlineStr">
        <is>
          <t>Meter each commerce operation as a bounded Slice; where multiple candidates match a resolved concept_id, select via a weighted combination of relevance, source priority, and bid, applied only to already-matched candidates.</t>
        </is>
      </c>
      <c r="F100" s="2" t="inlineStr">
        <is>
          <t>score = w1*relevance + w2*source_priority + w3*bid, Σw=1</t>
        </is>
      </c>
      <c r="G100" s="2">
        <f>SUMPRODUCT({0.4,0.3,0.3},{0.9,0.7,0.6})</f>
        <v/>
      </c>
    </row>
    <row r="101">
      <c r="A101" s="2" t="n">
        <v>100</v>
      </c>
      <c r="B101" s="2" t="inlineStr">
        <is>
          <t>Commerce Optimization Proposals</t>
        </is>
      </c>
      <c r="C101" s="2" t="inlineStr">
        <is>
          <t>Commerce &amp; Entitlement Tokens</t>
        </is>
      </c>
      <c r="D101" s="2" t="inlineStr">
        <is>
          <t>§88.10</t>
        </is>
      </c>
      <c r="E101" s="2" t="inlineStr">
        <is>
          <t>Admin§88.10System Agent / Human Reviewer Route any proposed change to commerce targeting or bid weighting through Chapter 66's full Simulation Sandbox, Pre-Screening, and Human Review Gate; no autonomous deployment path exists for commerce optimization.</t>
        </is>
      </c>
      <c r="F101" s="2" t="inlineStr">
        <is>
          <t>Structural rule: A proposed commerce change enters the full improvement-proposal gate; no commerce parameter changes without a recorded human approval.</t>
        </is>
      </c>
      <c r="G101" s="2" t="inlineStr"/>
    </row>
    <row r="102">
      <c r="A102" s="2" t="n">
        <v>101</v>
      </c>
      <c r="B102" s="2" t="inlineStr">
        <is>
          <t>Merchandise Commerce and Fulfillment Handoff</t>
        </is>
      </c>
      <c r="C102" s="2" t="inlineStr">
        <is>
          <t>Commerce &amp; Entitlement Tokens</t>
        </is>
      </c>
      <c r="D102" s="2" t="inlineStr">
        <is>
          <t>§88.12</t>
        </is>
      </c>
      <c r="E102" s="2"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2" t="inlineStr">
        <is>
          <t>Structural rule: A merchandise referral is scoped to the referring party alone; the system takes no custody of the transaction.</t>
        </is>
      </c>
      <c r="G102" s="2" t="inlineStr"/>
    </row>
    <row r="103">
      <c r="A103" s="2" t="n">
        <v>102</v>
      </c>
      <c r="B103" s="2" t="inlineStr">
        <is>
          <t>System Identity and Positioning</t>
        </is>
      </c>
      <c r="C103" s="2" t="inlineStr">
        <is>
          <t>Platform Governance &amp; Evolution</t>
        </is>
      </c>
      <c r="D103" s="2" t="inlineStr">
        <is>
          <t>Chapter 86</t>
        </is>
      </c>
      <c r="E103" s="2" t="inlineStr">
        <is>
          <t>AdminChapter 86Operator On any external summary request, resolve claims against §86's stated differentiators and corrections rather than unverified external description.</t>
        </is>
      </c>
      <c r="F103" s="2" t="inlineStr">
        <is>
          <t>Structural rule: An external summary is resolved against the stated differentiators and corrected where it overstates them; no uncorrected overclaim is issued.</t>
        </is>
      </c>
      <c r="G103" s="2" t="inlineStr"/>
    </row>
    <row r="104">
      <c r="A104" s="2" t="n">
        <v>103</v>
      </c>
      <c r="B104" s="2" t="inlineStr">
        <is>
          <t>Native QueryBook Reader</t>
        </is>
      </c>
      <c r="C104" s="2" t="inlineStr">
        <is>
          <t>Interaction Surfaces</t>
        </is>
      </c>
      <c r="D104" s="2" t="inlineStr">
        <is>
          <t>Chapter 89</t>
        </is>
      </c>
      <c r="E104" s="2" t="inlineStr">
        <is>
          <t>User-facingChapter 89Reader Render EPUB 3.3 content as a conformant Reading System; QueryBook interactions triggered by ignorable data-qb-* attributes on otherwise-standard markup.</t>
        </is>
      </c>
      <c r="F104" s="2" t="inlineStr">
        <is>
          <t>Structural rule: Reading-system conformance is maintained independently of QueryBook interaction; interaction adds capability and removes no conformant behaviour.</t>
        </is>
      </c>
      <c r="G104" s="2" t="inlineStr"/>
    </row>
    <row r="105">
      <c r="A105" s="2" t="n">
        <v>104</v>
      </c>
      <c r="B105" s="2" t="inlineStr">
        <is>
          <t>Deployment Modes and Domain Packages</t>
        </is>
      </c>
      <c r="C105" s="2" t="inlineStr">
        <is>
          <t>Platform Governance &amp; Evolution</t>
        </is>
      </c>
      <c r="D105" s="2" t="inlineStr">
        <is>
          <t>Chapter 90</t>
        </is>
      </c>
      <c r="E105" s="2" t="inlineStr">
        <is>
          <t>AdminChapter 90Operator Run identical logical services across Cloud SaaS, Local Server, and Single Device modes, differing only in hosting topology, not specification.</t>
        </is>
      </c>
      <c r="F105" s="2" t="inlineStr">
        <is>
          <t>Structural rule: The same logical services execute in every deployment mode; a mode changes where a service runs and not which service owns a decision.</t>
        </is>
      </c>
      <c r="G105" s="2" t="inlineStr"/>
    </row>
    <row r="106">
      <c r="A106" s="2" t="n">
        <v>105</v>
      </c>
      <c r="B106" s="2" t="inlineStr">
        <is>
          <t>Personal Object Location</t>
        </is>
      </c>
      <c r="C106" s="2" t="inlineStr">
        <is>
          <t>World Model &amp; Perception</t>
        </is>
      </c>
      <c r="D106" s="2" t="inlineStr">
        <is>
          <t>Chapter 91</t>
        </is>
      </c>
      <c r="E106" s="2" t="inlineStr">
        <is>
          <t>User-facingChapter 91User On consented live feed, classify inanimate objects/materials against WASM Object Layer; discard any person/animal-classified result; represent as session-scoped record.</t>
        </is>
      </c>
      <c r="F106" s="2" t="inlineStr">
        <is>
          <t>Structural rule: Classification is restricted to inanimate objects and materials; a person- or animal-classified result is excluded from the result set entirely.</t>
        </is>
      </c>
      <c r="G106" s="2">
        <f>IF(OR("person"="person","person"="animal"),"discard","surface_result")</f>
        <v/>
      </c>
    </row>
    <row r="107">
      <c r="A107" s="2" t="n">
        <v>106</v>
      </c>
      <c r="B107" s="2" t="inlineStr">
        <is>
          <t>Sensory-Annotated Content Playback</t>
        </is>
      </c>
      <c r="C107" s="2" t="inlineStr">
        <is>
          <t>Ingestion &amp; Sensory Intake</t>
        </is>
      </c>
      <c r="D107" s="2" t="inlineStr">
        <is>
          <t>Chapter 92</t>
        </is>
      </c>
      <c r="E107" s="2" t="inlineStr">
        <is>
          <t>User-facingChapter 92Reader On content with a sensory profile attribute, play audio/visual/device-haptic output via device-native APIs only; opt-in for audio/haptic, default-on for passive visual effects.</t>
        </is>
      </c>
      <c r="F107" s="2" t="inlineStr">
        <is>
          <t>Structural rule: Sensory output plays only where the content carries an authored sensory profile; no output is triggered by an inferred state.</t>
        </is>
      </c>
      <c r="G107" s="2" t="inlineStr"/>
    </row>
    <row r="108">
      <c r="A108" s="2" t="n">
        <v>107</v>
      </c>
      <c r="B108" s="2" t="inlineStr">
        <is>
          <t>Audio Narration</t>
        </is>
      </c>
      <c r="C108" s="2" t="inlineStr">
        <is>
          <t>Grounded Expression</t>
        </is>
      </c>
      <c r="D108" s="2" t="inlineStr">
        <is>
          <t>Chapter 93</t>
        </is>
      </c>
      <c r="E108" s="2" t="inlineStr">
        <is>
          <t>User-facingChapter 93Author / Reader Select author's own recorded narration if it exists for requested content; else use generic non-cloned synthetic voice profile; never approximate a specific real voice absent that person's own recording.</t>
        </is>
      </c>
      <c r="F108" s="2" t="inlineStr">
        <is>
          <t>Structural rule: The author's own recorded asset is selected where it exists; otherwise a generic profile with no correspondence to a specific person is used.</t>
        </is>
      </c>
      <c r="G108" s="2">
        <f>IF(TRUE()=TRUE(),"use_recorded","use_generic_synthetic")</f>
        <v/>
      </c>
    </row>
    <row r="109">
      <c r="A109" s="2" t="n">
        <v>108</v>
      </c>
      <c r="B109" s="2" t="inlineStr">
        <is>
          <t>NFT Integration Layer</t>
        </is>
      </c>
      <c r="C109" s="2" t="inlineStr">
        <is>
          <t>Commerce &amp; Entitlement Tokens</t>
        </is>
      </c>
      <c r="D109" s="2" t="inlineStr">
        <is>
          <t>Chapter 94</t>
        </is>
      </c>
      <c r="E109" s="2"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2" t="inlineStr">
        <is>
          <t>Structural rule: A token is minted only after the entitlement exists; where token state and entitlement record diverge the entitlement record is authoritative.</t>
        </is>
      </c>
      <c r="G109" s="2" t="inlineStr"/>
    </row>
    <row r="110">
      <c r="A110" s="2" t="n">
        <v>109</v>
      </c>
      <c r="B110" s="2" t="inlineStr">
        <is>
          <t>Complementary Learning Systems Formalization</t>
        </is>
      </c>
      <c r="C110" s="2" t="inlineStr">
        <is>
          <t>Commerce &amp; Entitlement Tokens</t>
        </is>
      </c>
      <c r="D110" s="2" t="inlineStr">
        <is>
          <t>Chapter 95System</t>
        </is>
      </c>
      <c r="E110" s="2" t="inlineStr">
        <is>
          <t>Name session-scoped records as the fast/episodic system and the permanent Fact Graph as the slow/consolidated system; consolidation requires explicit user election, never automatic replay.</t>
        </is>
      </c>
      <c r="F110" s="2" t="inlineStr">
        <is>
          <t>Structural rule: The correspondence names existing mechanisms and creates none; session-scoped records and the permanent graph are unchanged by the naming.</t>
        </is>
      </c>
      <c r="G110" s="2" t="inlineStr"/>
    </row>
    <row r="111">
      <c r="A111" s="2" t="n">
        <v>110</v>
      </c>
      <c r="B111" s="2" t="inlineStr">
        <is>
          <t>Forensic Analysis of External AI System Outputs</t>
        </is>
      </c>
      <c r="C111" s="2" t="inlineStr">
        <is>
          <t>External Integration &amp; Analysis</t>
        </is>
      </c>
      <c r="D111" s="2" t="inlineStr">
        <is>
          <t>Chapter 96</t>
        </is>
      </c>
      <c r="E111" s="2" t="inlineStr">
        <is>
          <t>User-facingChapter 96Researcher Check a claim in an external AI's output against QueryBook's own Fact Graph; classify across 6 categories; self-referential language cataloged as observed text only, never a sentience determination.</t>
        </is>
      </c>
      <c r="F111" s="2" t="inlineStr">
        <is>
          <t>Structural rule: Each claim of an external output is marked supported-with-citation or unsupported; no output asserts a determination about that system's internal state.</t>
        </is>
      </c>
      <c r="G111" s="2">
        <f>IF(TRUE()=TRUE(),"grounded","unverified")</f>
        <v/>
      </c>
    </row>
    <row r="112">
      <c r="A112" s="2" t="n">
        <v>111</v>
      </c>
      <c r="B112" s="2" t="inlineStr">
        <is>
          <t>Hypothesis Generation</t>
        </is>
      </c>
      <c r="C112" s="2" t="inlineStr">
        <is>
          <t>Inference, Prediction &amp; Calibration</t>
        </is>
      </c>
      <c r="D112" s="2" t="inlineStr">
        <is>
          <t>Chapter 97</t>
        </is>
      </c>
      <c r="E112" s="2" t="inlineStr">
        <is>
          <t>User-facingChapter 97Researcher / Domain Expert Generate a hypothesis via AIQG/AEM/Scenario Graph/§10.4 triggers with status=PROPOSED; only an identified human expert may transition status to VALIDATED; no automated path exists.</t>
        </is>
      </c>
      <c r="F112" s="2" t="inlineStr">
        <is>
          <t>Structural rule: A hypothesis is created with status PROPOSED and transitions to VALIDATED only on confirmation by an identified human reviewer.</t>
        </is>
      </c>
      <c r="G112" s="2">
        <f>IF("VALIDATED"="VALIDATED","eligible_for_fact_graph","display_only")</f>
        <v/>
      </c>
    </row>
    <row r="113">
      <c r="A113" s="2" t="n">
        <v>112</v>
      </c>
      <c r="B113" s="2" t="inlineStr">
        <is>
          <t>Cognitive Map Formalization</t>
        </is>
      </c>
      <c r="C113" s="2" t="inlineStr">
        <is>
          <t>Ontology &amp; Conceptual Structure</t>
        </is>
      </c>
      <c r="D113" s="2" t="inlineStr">
        <is>
          <t>Chapter 98System</t>
        </is>
      </c>
      <c r="E113" s="2" t="inlineStr">
        <is>
          <t>Name the correspondence between §91.9's lattice indexing and the Attractor Network's Hopfield dynamics; extend deterministic lattice indexing to general Ontology Mesh concept proximity search.</t>
        </is>
      </c>
      <c r="F113" s="2" t="inlineStr">
        <is>
          <t>Same hex_coord principle as §91.9, applied to concept space, deterministic</t>
        </is>
      </c>
      <c r="G113" s="2" t="inlineStr"/>
    </row>
    <row r="114">
      <c r="A114" s="2" t="n">
        <v>113</v>
      </c>
      <c r="B114" s="2" t="inlineStr">
        <is>
          <t>Study and Learning Tools</t>
        </is>
      </c>
      <c r="C114" s="2" t="inlineStr">
        <is>
          <t>Learning &amp; Assessment</t>
        </is>
      </c>
      <c r="D114" s="2" t="inlineStr">
        <is>
          <t>Chapter 99</t>
        </is>
      </c>
      <c r="E114" s="2" t="inlineStr">
        <is>
          <t>User-facingChapter 99Student / Reader Assemble glossary entries, study guides, and staged Tutorial Mode sequences from already-grounded content; schedule flashcards via spaced-repetition interval; cluster concepts via Ontology Mesh structure.</t>
        </is>
      </c>
      <c r="F114" s="2" t="inlineStr">
        <is>
          <t>Next spaced-repetition interval is the prior interval scaled by the ease factor where recall quality clears the floor, else reset to one day.</t>
        </is>
      </c>
      <c r="G114" s="2">
        <f>IF(0.8&gt;=0.6,6*2.5,1)</f>
        <v/>
      </c>
    </row>
    <row r="115">
      <c r="A115" s="2" t="n">
        <v>114</v>
      </c>
      <c r="B115" s="2" t="inlineStr">
        <is>
          <t>Content Verification and Argumentation Tools</t>
        </is>
      </c>
      <c r="C115" s="2" t="inlineStr">
        <is>
          <t>Grounded Expression</t>
        </is>
      </c>
      <c r="D115" s="2" t="inlineStr">
        <is>
          <t>Chapter 100</t>
        </is>
      </c>
      <c r="E115" s="2" t="inlineStr">
        <is>
          <t>User-facingChapter 100Reader / Researcher Check claims against grounded Fact Graph via CDRE contradiction logic; surface existing corroboration counts; assemble grounded position arguments via Scenario Graph, never fabricating unsupported content.</t>
        </is>
      </c>
      <c r="F115" s="2" t="inlineStr">
        <is>
          <t>Structural rule: A surfaced contradiction cites the records establishing it; no conclusory characterization is generated that is not itself derivable from a record.</t>
        </is>
      </c>
      <c r="G115" s="2">
        <f>IF(TRUE()=TRUE(),"flag_with_citation","no_flag")</f>
        <v/>
      </c>
    </row>
    <row r="116">
      <c r="A116" s="2" t="n">
        <v>115</v>
      </c>
      <c r="B116" s="2" t="inlineStr">
        <is>
          <t>Manifold-Based Trend Forecasting</t>
        </is>
      </c>
      <c r="C116" s="2" t="inlineStr">
        <is>
          <t>Inference, Prediction &amp; Calibration</t>
        </is>
      </c>
      <c r="D116" s="2" t="inlineStr">
        <is>
          <t>§10.4</t>
        </is>
      </c>
      <c r="E116" s="2" t="inlineStr">
        <is>
          <t>User-facing§10.4Analyst Embed ingested time-series data into a nonlinear manifold; generate a forecast with an explicit confidence interval; render in a labeled region separate from grounded output.</t>
        </is>
      </c>
      <c r="F116" s="2" t="inlineStr">
        <is>
          <t>forecast = f(manifold_embedding(time_series)), CI computed from embedding uncertainty</t>
        </is>
      </c>
      <c r="G116" s="2">
        <f>1.96*0.8/SQRT(16)</f>
        <v/>
      </c>
    </row>
    <row r="117">
      <c r="A117" s="2" t="n">
        <v>116</v>
      </c>
      <c r="B117" s="2" t="inlineStr">
        <is>
          <t>Geometric Shape Matching / Grid-Cell Indexing</t>
        </is>
      </c>
      <c r="C117" s="2" t="inlineStr">
        <is>
          <t>World Model &amp; Perception</t>
        </is>
      </c>
      <c r="D117" s="2" t="inlineStr">
        <is>
          <t>§91.8–§91.9System</t>
        </is>
      </c>
      <c r="E117" s="2" t="inlineStr">
        <is>
          <t>Compare candidate contours via the Registration Constraint Graph's three-pass solving using Geometry and Constraint Fact Units; index candidates on a fixed, non-learned hexagonal lattice for deterministic proximity search.</t>
        </is>
      </c>
      <c r="F117" s="2" t="inlineStr">
        <is>
          <t>hex_coord = f(x,y), deterministic and fixed by construction</t>
        </is>
      </c>
      <c r="G117" s="2">
        <f>(ABS(1-0)+ABS(0-1)+ABS(-1-(-1)))/2</f>
        <v/>
      </c>
    </row>
    <row r="118">
      <c r="A118" s="2" t="n">
        <v>117</v>
      </c>
      <c r="B118" s="2" t="inlineStr">
        <is>
          <t>Dual-Grounded Developmental World Model (The Box Principle)</t>
        </is>
      </c>
      <c r="C118" s="2" t="inlineStr">
        <is>
          <t>World Model &amp; Perception</t>
        </is>
      </c>
      <c r="D118" s="2" t="inlineStr">
        <is>
          <t>Chapter 59System</t>
        </is>
      </c>
      <c r="E118" s="2"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2" t="inlineStr">
        <is>
          <t>A concept is finalized only after the consolidation count reaches the configured minimum; a single binding event is provisional.</t>
        </is>
      </c>
      <c r="G118" s="2">
        <f>IF(4&gt;=3,"Concept consolidated","Provisional binding retained")</f>
        <v/>
      </c>
    </row>
    <row r="119">
      <c r="A119" s="2" t="n">
        <v>118</v>
      </c>
      <c r="B119" s="2" t="inlineStr">
        <is>
          <t>External Sensory Hardware (Smell/Haptic)</t>
        </is>
      </c>
      <c r="C119" s="2" t="inlineStr">
        <is>
          <t>Ingestion &amp; Sensory Intake</t>
        </is>
      </c>
      <c r="D119" s="2" t="inlineStr">
        <is>
          <t>§92.7</t>
        </is>
      </c>
      <c r="E119" s="2" t="inlineStr">
        <is>
          <t>User-facing§92.7Reader On explicit user action tied to a specific, authored sensory profile, trigger registered external scent/haptic hardware; never trigger from an inferred signal (e.g., detected emotion) under any configuration.</t>
        </is>
      </c>
      <c r="F119" s="2" t="inlineStr">
        <is>
          <t>Structural rule: Output is triggered by an explicit user action tied to an authored profile; a system-inferred trigger is permanently excluded.</t>
        </is>
      </c>
      <c r="G119" s="2">
        <f>IF(AND(TRUE(),TRUE()),"eligible","blocked")</f>
        <v/>
      </c>
    </row>
    <row r="120">
      <c r="A120" s="2" t="n">
        <v>119</v>
      </c>
      <c r="B120" s="2" t="inlineStr">
        <is>
          <t>Source Framing Signals</t>
        </is>
      </c>
      <c r="C120" s="2" t="inlineStr">
        <is>
          <t>Grounded Expression</t>
        </is>
      </c>
      <c r="D120" s="2" t="inlineStr">
        <is>
          <t>§100.6</t>
        </is>
      </c>
      <c r="E120" s="2" t="inlineStr">
        <is>
          <t>User-facing§100.6Reader / Researcher Surface a source's own documented editorial position and quantifiable citation-composition facts (count, funding overlap) as cited facts; never generate a conclusory bias judgment not grounded in the Fact Graph.</t>
        </is>
      </c>
      <c r="F120" s="2" t="inlineStr">
        <is>
          <t>Source composition is reported as a quantified, cited ratio; no conclusory judgment is generated.</t>
        </is>
      </c>
      <c r="G120" s="2">
        <f>IF(3/12&gt;0,"Report composition fact with citation","No composition fact available")</f>
        <v/>
      </c>
    </row>
    <row r="121">
      <c r="A121" s="2" t="n">
        <v>120</v>
      </c>
      <c r="B121" s="2" t="inlineStr">
        <is>
          <t>VR-Specific Commerce Presentation</t>
        </is>
      </c>
      <c r="C121" s="2" t="inlineStr">
        <is>
          <t>Commerce &amp; Entitlement Tokens</t>
        </is>
      </c>
      <c r="D121" s="2" t="inlineStr">
        <is>
          <t>§88.13</t>
        </is>
      </c>
      <c r="E121" s="2" t="inlineStr">
        <is>
          <t>User-facing§88.13Operator / Reader Render matched commercial content in a spatially distinct VR region using the existing concept_id-triggered matching of §88.1; never use gaze, dwell-time, or spatial proximity as a selection signal.</t>
        </is>
      </c>
      <c r="F121" s="2" t="inlineStr">
        <is>
          <t>Structural rule: Commercial content renders in a spatially distinct region; no gaze, dwell or attention signal is captured, derived or made available.</t>
        </is>
      </c>
      <c r="G121" s="2" t="inlineStr"/>
    </row>
    <row r="122">
      <c r="A122" s="2" t="n">
        <v>121</v>
      </c>
      <c r="B122" s="2" t="inlineStr">
        <is>
          <t>Vehicle-Control AI Feed Monitoring</t>
        </is>
      </c>
      <c r="C122" s="2" t="inlineStr">
        <is>
          <t>External Integration &amp; Analysis</t>
        </is>
      </c>
      <c r="D122" s="2" t="inlineStr">
        <is>
          <t>§96.8</t>
        </is>
      </c>
      <c r="E122" s="2"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2" t="inlineStr">
        <is>
          <t>Structural rule: Telemetry analysis is read-only; no control interface to any vehicle system exists or is created.</t>
        </is>
      </c>
      <c r="G122" s="2">
        <f>IF(TRUE()=TRUE(),"generate_alert","log_only")</f>
        <v/>
      </c>
    </row>
    <row r="123">
      <c r="A123" s="2" t="n">
        <v>122</v>
      </c>
      <c r="B123" s="2" t="inlineStr">
        <is>
          <t>Biased Competition for Object Salience</t>
        </is>
      </c>
      <c r="C123" s="2" t="inlineStr">
        <is>
          <t>World Model &amp; Perception</t>
        </is>
      </c>
      <c r="D123" s="2" t="inlineStr">
        <is>
          <t>§53.8System</t>
        </is>
      </c>
      <c r="E123" s="2" t="inlineStr">
        <is>
          <t>Compute a SalienceWeight for each concurrently-detected Object Layer node from detection confidence and task relevance, normalized against co-present objects; never remove or exclude a node from the Fact Graph based on its weight.</t>
        </is>
      </c>
      <c r="F123" s="2" t="inlineStr">
        <is>
          <t>SalienceWeight_i = f(confidence_i, relevance_i) / Σ f(confidence_j, relevance_j) for all j in scene</t>
        </is>
      </c>
      <c r="G123" s="2">
        <f>IF(SUM(0.9,0.7,0.6)=0,"undefined",0.9/SUM(0.9,0.7,0.6))</f>
        <v/>
      </c>
    </row>
    <row r="124">
      <c r="A124" s="2" t="n">
        <v>123</v>
      </c>
      <c r="B124" s="2" t="inlineStr">
        <is>
          <t>Boltzmann-Style Diverse Hypothesis Sampling</t>
        </is>
      </c>
      <c r="C124" s="2" t="inlineStr">
        <is>
          <t>Inference, Prediction &amp; Calibration</t>
        </is>
      </c>
      <c r="D124" s="2" t="inlineStr">
        <is>
          <t>§97.7</t>
        </is>
      </c>
      <c r="E124" s="2"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2" t="inlineStr">
        <is>
          <t>p_i = 1 / (1 + e^(−βΔE_i)), β = 1/T</t>
        </is>
      </c>
      <c r="G124" s="2">
        <f>1/(1+EXP(-1*0.4))</f>
        <v/>
      </c>
    </row>
    <row r="125">
      <c r="A125" s="2" t="n">
        <v>124</v>
      </c>
      <c r="B125" s="2" t="inlineStr">
        <is>
          <t>Developmental Parallel — Verified Correspondence</t>
        </is>
      </c>
      <c r="C125" s="2" t="inlineStr">
        <is>
          <t>World Model &amp; Perception</t>
        </is>
      </c>
      <c r="D125" s="2" t="inlineStr">
        <is>
          <t>§59.9System / Researcher</t>
        </is>
      </c>
      <c r="E125" s="2"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2" t="inlineStr">
        <is>
          <t>Structural rule: The correspondence grounds existing mechanisms in cited developmental findings; it adds no mechanism and alters no binding rule.</t>
        </is>
      </c>
      <c r="G125" s="2" t="inlineStr"/>
    </row>
    <row r="126">
      <c r="A126" s="2" t="n">
        <v>125</v>
      </c>
      <c r="B126" s="2" t="inlineStr">
        <is>
          <t>Ego-Motion Compensation for Non-Stationary Capture</t>
        </is>
      </c>
      <c r="C126" s="2" t="inlineStr">
        <is>
          <t>Ingestion &amp; Sensory Intake</t>
        </is>
      </c>
      <c r="D126" s="2" t="inlineStr">
        <is>
          <t>§55.2.1System</t>
        </is>
      </c>
      <c r="E126" s="2" t="inlineStr">
        <is>
          <t>Estimate camera ego-motion from the aggregate optical-flow field; subtract it from each region's raw motion vector before Stage 4 object/scene segmentation, improving detection accuracy under significant camera movement.</t>
        </is>
      </c>
      <c r="F126" s="2" t="inlineStr">
        <is>
          <t>v_compensated = v_raw − v_ego_estimated</t>
        </is>
      </c>
      <c r="G126" s="2" t="inlineStr"/>
    </row>
    <row r="127">
      <c r="A127" s="2" t="n">
        <v>126</v>
      </c>
      <c r="B127" s="2" t="inlineStr">
        <is>
          <t>Encyclopedia Content Ingestion</t>
        </is>
      </c>
      <c r="C127" s="2" t="inlineStr">
        <is>
          <t>World Model &amp; Perception</t>
        </is>
      </c>
      <c r="D127" s="2" t="inlineStr">
        <is>
          <t>§59.10</t>
        </is>
      </c>
      <c r="E127" s="2" t="inlineStr">
        <is>
          <t>User-facing§59.10Author / Publisher Extract discrete factual claims from encyclopedia text as Fact Units under the fact/expression dichotomy (Feist v. Rural, 1991); images remain subject to Chapter 60's standard rights-aware ingestion, never exempted.</t>
        </is>
      </c>
      <c r="F127" s="2" t="inlineStr">
        <is>
          <t>Structural rule: A discrete factual claim is extracted while the source's protected expression is not reproduced; accompanying images pass separate rights validation.</t>
        </is>
      </c>
      <c r="G127" s="2" t="inlineStr"/>
    </row>
    <row r="128">
      <c r="A128" s="2" t="n">
        <v>127</v>
      </c>
      <c r="B128" s="2" t="inlineStr">
        <is>
          <t>Intersensory Redundancy Weighting</t>
        </is>
      </c>
      <c r="C128" s="2" t="inlineStr">
        <is>
          <t>Ingestion &amp; Sensory Intake</t>
        </is>
      </c>
      <c r="D128" s="2" t="inlineStr">
        <is>
          <t>§55.2.2System</t>
        </is>
      </c>
      <c r="E128" s="2" t="inlineStr">
        <is>
          <t>Where a property is confirmed via temporally-synchronous signals across multiple concurrent modalities, elevate its Stage 3 confidence weighting relative to a single-modality-only property.</t>
        </is>
      </c>
      <c r="F128" s="2" t="inlineStr">
        <is>
          <t>confidence_amodal &gt; confidence_single_modality when synchrony confirmed</t>
        </is>
      </c>
      <c r="G128" s="2">
        <f>IF(0.78&gt;0.62,"Cross-modal weighting applied","Single-modality confidence retained")</f>
        <v/>
      </c>
    </row>
    <row r="129">
      <c r="A129" s="2" t="n">
        <v>128</v>
      </c>
      <c r="B129" s="2" t="inlineStr">
        <is>
          <t>Object Permanence — Precise Correspondence</t>
        </is>
      </c>
      <c r="C129" s="2" t="inlineStr">
        <is>
          <t>Ingestion &amp; Sensory Intake</t>
        </is>
      </c>
      <c r="D129" s="2" t="inlineStr">
        <is>
          <t>§55.2.3System</t>
        </is>
      </c>
      <c r="E129" s="2" t="inlineStr">
        <is>
          <t>Maintain a single Object Layer node's continuity when the object is fully occluded or temporarily unobservable within the same session, per Piaget's real definition; introduces no cross-session tracking.</t>
        </is>
      </c>
      <c r="F129" s="2" t="inlineStr">
        <is>
          <t>Structural rule: A single object node retains continuity across full occlusion within a session; occlusion does not create a second node.</t>
        </is>
      </c>
      <c r="G129" s="2" t="inlineStr"/>
    </row>
    <row r="130">
      <c r="A130" s="2" t="n">
        <v>129</v>
      </c>
      <c r="B130" s="2" t="inlineStr">
        <is>
          <t>Additional Disambiguation Heuristics for Cross-Modal Binding</t>
        </is>
      </c>
      <c r="C130" s="2" t="inlineStr">
        <is>
          <t>World Model &amp; Perception</t>
        </is>
      </c>
      <c r="D130" s="2" t="inlineStr">
        <is>
          <t>§59.11System</t>
        </is>
      </c>
      <c r="E130" s="2" t="inlineStr">
        <is>
          <t>Apply gaze-direction inference, whole-object bias, and mutual exclusivity as evidence-overridable preferences during Cross-Modal Binding's co-occurrence resolution, alongside — never replacing — existing semantic-consistency confirmation.</t>
        </is>
      </c>
      <c r="F130" s="2" t="inlineStr">
        <is>
          <t>Structural rule: Each disambiguation heuristic is evidence-overridable; a heuristic never overrides a directly-observed binding.</t>
        </is>
      </c>
      <c r="G130" s="2" t="inlineStr"/>
    </row>
    <row r="131">
      <c r="A131" s="2" t="n">
        <v>130</v>
      </c>
      <c r="B131" s="2" t="inlineStr">
        <is>
          <t>Live-Session Erasure</t>
        </is>
      </c>
      <c r="C131" s="2" t="inlineStr">
        <is>
          <t>Access, Rights &amp; Retention</t>
        </is>
      </c>
      <c r="D131" s="2" t="inlineStr">
        <is>
          <t>§36.7.1</t>
        </is>
      </c>
      <c r="E131" s="2" t="inlineStr">
        <is>
          <t>User-facing§36.7.1Reader On user action, immediately clear the live Cognitive Context Window transcript, client- and server-side; log a Provenance Ledger entry recording that an erasure occurred without retaining the cleared content itself.</t>
        </is>
      </c>
      <c r="F131" s="2" t="inlineStr">
        <is>
          <t>Structural rule: Clearing is immediate at client and server and produces no condensed retained form; the ledger entry records the erasure and none of its content.</t>
        </is>
      </c>
      <c r="G131" s="2">
        <f>IF("clear_now"="clear_now","transcript_cleared_immediately","no_action")</f>
        <v/>
      </c>
    </row>
    <row r="132">
      <c r="A132" s="2" t="n">
        <v>131</v>
      </c>
      <c r="B132" s="2" t="inlineStr">
        <is>
          <t>Retention Policy (Retain-by-Default, Erasure as Option)</t>
        </is>
      </c>
      <c r="C132" s="2" t="inlineStr">
        <is>
          <t>Access, Rights &amp; Retention</t>
        </is>
      </c>
      <c r="D132" s="2" t="inlineStr">
        <is>
          <t>§36.7.3</t>
        </is>
      </c>
      <c r="E132" s="2" t="inlineStr">
        <is>
          <t>Admin§36.7.3, §36.7.5Reader / Operator Retain SAFU records automatically at session end by default; provide session/work/account-level erasure (§36.7) and live-session erasure (§36.7.1) as fully available, explicit user-initiated options at any time.</t>
        </is>
      </c>
      <c r="F132" s="2" t="inlineStr">
        <is>
          <t>Structural rule: Retention is the default and erasure is an explicit user action at session, work and account scope; neither is silently applied.</t>
        </is>
      </c>
      <c r="G132" s="2">
        <f>IF("retained"="retained","erasure_available_as_option","n/a")</f>
        <v/>
      </c>
    </row>
    <row r="133">
      <c r="A133" s="2" t="n">
        <v>132</v>
      </c>
      <c r="B133" s="2" t="inlineStr">
        <is>
          <t>Verified Neuromorphic Correspondence Methodology</t>
        </is>
      </c>
      <c r="C133" s="2" t="inlineStr">
        <is>
          <t>Platform Governance &amp; Evolution</t>
        </is>
      </c>
      <c r="D133" s="2" t="inlineStr">
        <is>
          <t>Chapter 101System / Researcher</t>
        </is>
      </c>
      <c r="E133" s="2"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2" t="inlineStr">
        <is>
          <t>Structural rule: A correspondence is adopted only after external verification, an implicit-correspondence check, deterministic extraction, extension over invention and named formalization.</t>
        </is>
      </c>
      <c r="G133" s="2" t="inlineStr"/>
    </row>
    <row r="134">
      <c r="A134" s="2" t="n">
        <v>133</v>
      </c>
      <c r="B134" s="2" t="inlineStr">
        <is>
          <t>Legal Exposure Minimization Through Structural Compliance</t>
        </is>
      </c>
      <c r="C134" s="2" t="inlineStr">
        <is>
          <t>Access, Rights &amp; Retention</t>
        </is>
      </c>
      <c r="D134" s="2" t="inlineStr">
        <is>
          <t>Chapter 102</t>
        </is>
      </c>
      <c r="E134" s="2"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2" t="inlineStr">
        <is>
          <t>Structural rule: Exposure is reduced through compliance, non-custody, rights discipline and consistent retention; never by reducing what is lawfully producible.</t>
        </is>
      </c>
      <c r="G134" s="2" t="inlineStr"/>
    </row>
    <row r="135">
      <c r="A135" s="2" t="n">
        <v>134</v>
      </c>
      <c r="B135" s="2" t="inlineStr">
        <is>
          <t>Author Portal Book Upload</t>
        </is>
      </c>
      <c r="C135" s="2" t="inlineStr">
        <is>
          <t>Authoring, Editions &amp; Publication</t>
        </is>
      </c>
      <c r="D135" s="2" t="inlineStr">
        <is>
          <t>§61.1.1</t>
        </is>
      </c>
      <c r="E135" s="2"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2" t="inlineStr">
        <is>
          <t>Ingestion proceeds only where rights validation has returned a cleared status.</t>
        </is>
      </c>
      <c r="G135" s="2">
        <f>IF(TRUE(),"Queued for ingestion","Rejected - rights unvalidated")</f>
        <v/>
      </c>
    </row>
    <row r="136">
      <c r="A136" s="2" t="n">
        <v>135</v>
      </c>
      <c r="B136" s="2" t="inlineStr">
        <is>
          <t>Probable Question Generation (PQG)</t>
        </is>
      </c>
      <c r="C136" s="2" t="inlineStr">
        <is>
          <t>Inference, Prediction &amp; Calibration</t>
        </is>
      </c>
      <c r="D136" s="2" t="inlineStr">
        <is>
          <t>Ch. 41.6.3 / Ch. 10</t>
        </is>
      </c>
      <c r="E136" s="2"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2" t="inlineStr">
        <is>
          <t>A candidate question is retained in the Question Index only where its coverage score clears the configured floor.</t>
        </is>
      </c>
      <c r="G136" s="2">
        <f>IF(0.71&gt;=0.6,"Retained in Question Index","Discarded")</f>
        <v/>
      </c>
    </row>
    <row r="137">
      <c r="A137" s="2" t="n">
        <v>136</v>
      </c>
      <c r="B137" s="2" t="inlineStr">
        <is>
          <t>Pre-Computed Answer Set</t>
        </is>
      </c>
      <c r="C137" s="2" t="inlineStr">
        <is>
          <t>Inference, Prediction &amp; Calibration</t>
        </is>
      </c>
      <c r="D137" s="2" t="inlineStr">
        <is>
          <t>Ch. 41.6.3</t>
        </is>
      </c>
      <c r="E137" s="2"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2" t="inlineStr">
        <is>
          <t>Pre-computed answer confidence is bounded by the least confident contributing Fact Unit.</t>
        </is>
      </c>
      <c r="G137" s="2">
        <f>MIN(0.88,0.79)</f>
        <v/>
      </c>
    </row>
    <row r="138">
      <c r="A138" s="2" t="n">
        <v>137</v>
      </c>
      <c r="B138" s="2" t="inlineStr">
        <is>
          <t>Question Index Reuse and Invalidation</t>
        </is>
      </c>
      <c r="C138" s="2" t="inlineStr">
        <is>
          <t>Inference, Prediction &amp; Calibration</t>
        </is>
      </c>
      <c r="D138" s="2" t="inlineStr">
        <is>
          <t>Ch. 41.6.3 / §49.2</t>
        </is>
      </c>
      <c r="E138" s="2"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2" t="inlineStr">
        <is>
          <t>A stored answer is served only where match similarity clears threshold and every contributing Fact Unit is unrevised since computation.</t>
        </is>
      </c>
      <c r="G138" s="2">
        <f>IF(AND(0.83&gt;=0.75,TRUE()),"Serve pre-computed answer","Recompute live")</f>
        <v/>
      </c>
    </row>
    <row r="139">
      <c r="A139" s="2" t="n">
        <v>138</v>
      </c>
      <c r="B139" s="2" t="inlineStr">
        <is>
          <t>Author Supplemental Knowledge Layer</t>
        </is>
      </c>
      <c r="C139" s="2" t="inlineStr">
        <is>
          <t>Access, Rights &amp; Retention</t>
        </is>
      </c>
      <c r="D139" s="2" t="inlineStr">
        <is>
          <t>§82.1</t>
        </is>
      </c>
      <c r="E139" s="2"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2" t="inlineStr">
        <is>
          <t>Supplemental Fact Units carry author-attributed source reliability and trigger regeneration of every affected index entry.</t>
        </is>
      </c>
      <c r="G139" s="2">
        <f>IF(COUNTIF({"FU-101","FU-102"},"FU-101")&gt;0,"Regenerate affected entries","No regeneration required")</f>
        <v/>
      </c>
    </row>
    <row r="140">
      <c r="A140" s="2" t="n">
        <v>139</v>
      </c>
      <c r="B140" s="2" t="inlineStr">
        <is>
          <t>Attractor Load Regime Governor</t>
        </is>
      </c>
      <c r="C140" s="2" t="inlineStr">
        <is>
          <t>Retrieval &amp; Response</t>
        </is>
      </c>
      <c r="D140" s="2" t="inlineStr">
        <is>
          <t>§7.6.3 / §7.6.4</t>
        </is>
      </c>
      <c r="E140" s="2"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2" t="inlineStr">
        <is>
          <t>Alpha = P/N must remain below the configured operating ceiling, itself strictly below the Retrieval-Phase Boundary alpha_c ~ 0.138 (AGS 1985, 1987).</t>
        </is>
      </c>
      <c r="G140" s="2">
        <f>IF(1000/8192&lt;0.05,"Admit - conservative regime","Consolidate before admitting")</f>
        <v/>
      </c>
    </row>
    <row r="141">
      <c r="A141" s="2" t="n">
        <v>140</v>
      </c>
      <c r="B141" s="2" t="inlineStr">
        <is>
          <t>Sampling Criticality Control</t>
        </is>
      </c>
      <c r="C141" s="2" t="inlineStr">
        <is>
          <t>Inference, Prediction &amp; Calibration</t>
        </is>
      </c>
      <c r="D141" s="2" t="inlineStr">
        <is>
          <t>§97.7.1</t>
        </is>
      </c>
      <c r="E141" s="2"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2" t="inlineStr">
        <is>
          <t>Selection probability p = 1 / (1 + e^(-beta * deltaE)); beta sets distance from the indifference point.</t>
        </is>
      </c>
      <c r="G141" s="2">
        <f>1/(1+EXP(-0.5*0.4))</f>
        <v/>
      </c>
    </row>
    <row r="142">
      <c r="A142" s="2" t="n">
        <v>141</v>
      </c>
      <c r="B142" s="2" t="inlineStr">
        <is>
          <t>Concept Attribute Inheritance</t>
        </is>
      </c>
      <c r="C142" s="2" t="inlineStr">
        <is>
          <t>Ontology &amp; Conceptual Structure</t>
        </is>
      </c>
      <c r="D142" s="2" t="inlineStr">
        <is>
          <t>§54.6.1</t>
        </is>
      </c>
      <c r="E142" s="2"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2" t="inlineStr">
        <is>
          <t>Inherited attribute confidence is the product of the traversed IS-A edge confidences and the attribute's own confidence, bounded above by the least of them.</t>
        </is>
      </c>
      <c r="G142" s="2">
        <f>MIN(0.97,0.99*0.95)</f>
        <v/>
      </c>
    </row>
    <row r="143">
      <c r="A143" s="2" t="n">
        <v>142</v>
      </c>
      <c r="B143" s="2" t="inlineStr">
        <is>
          <t>Exception Override Resolution</t>
        </is>
      </c>
      <c r="C143" s="2" t="inlineStr">
        <is>
          <t>Ontology &amp; Conceptual Structure</t>
        </is>
      </c>
      <c r="D143" s="2" t="inlineStr">
        <is>
          <t>§54.6.2</t>
        </is>
      </c>
      <c r="E143" s="2"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2" t="inlineStr">
        <is>
          <t>The attribute asserted at the lesser IS-A depth governs; equal-depth conflicts are not resolved and both values are reported.</t>
        </is>
      </c>
      <c r="G143" s="2">
        <f>IF(3&gt;1,"Subordinate assertion governs","Inherited value retained")</f>
        <v/>
      </c>
    </row>
    <row r="144">
      <c r="A144" s="2" t="n">
        <v>143</v>
      </c>
      <c r="B144" s="2" t="inlineStr">
        <is>
          <t>Inverse Edge Traversal</t>
        </is>
      </c>
      <c r="C144" s="2" t="inlineStr">
        <is>
          <t>Ontology &amp; Conceptual Structure</t>
        </is>
      </c>
      <c r="D144" s="2" t="inlineStr">
        <is>
          <t>§54.6.3 / Appendix A</t>
        </is>
      </c>
      <c r="E144" s="2"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2" t="inlineStr">
        <is>
          <t>Reverse traversal is available only where an InversePredicate is declared; stored edge count equals asserted relation count.</t>
        </is>
      </c>
      <c r="G144" s="2">
        <f>IF(COUNTIF({"parentOf","childOf"},"childOf")&gt;0,"Reverse traversal available","Refused - no inverse declared")</f>
        <v/>
      </c>
    </row>
    <row r="145">
      <c r="A145" s="2" t="n">
        <v>144</v>
      </c>
      <c r="B145" s="2" t="inlineStr">
        <is>
          <t>Wording-Operative Span Preservation</t>
        </is>
      </c>
      <c r="C145" s="2" t="inlineStr">
        <is>
          <t>Grounded Expression</t>
        </is>
      </c>
      <c r="D145" s="2" t="inlineStr">
        <is>
          <t>§16.7</t>
        </is>
      </c>
      <c r="E145" s="2"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2" t="inlineStr">
        <is>
          <t>A wording-operative span is reproduced, never regenerated; the accompanying gloss carries a non-operative marking.</t>
        </is>
      </c>
      <c r="G145" s="2">
        <f>IF(COUNTIF({"QUOTATION","CLAIM","INSTRUCTION"},"QUOTATION")&gt;0,"Reproduce verbatim + non-operative gloss","Regenerate normally")</f>
        <v/>
      </c>
    </row>
    <row r="146">
      <c r="A146" s="2" t="n">
        <v>145</v>
      </c>
      <c r="B146" s="2" t="inlineStr">
        <is>
          <t>Idiom Detection and Equivalence Mapping</t>
        </is>
      </c>
      <c r="C146" s="2" t="inlineStr">
        <is>
          <t>Grounded Expression</t>
        </is>
      </c>
      <c r="D146" s="2" t="inlineStr">
        <is>
          <t>§16.8</t>
        </is>
      </c>
      <c r="E146" s="2"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2" t="inlineStr">
        <is>
          <t>An idiom mapping applies only where divergence clears the configured threshold and a target-language equivalent is registered.</t>
        </is>
      </c>
      <c r="G146" s="2">
        <f>IF(AND(0.82&gt;=0.6,COUNTIF({"es:tomar-el-pelo"},"es:tomar-el-pelo")&gt;0),"Apply registered equivalent","Render literal meaning with note")</f>
        <v/>
      </c>
    </row>
    <row r="147">
      <c r="A147" s="2" t="n">
        <v>146</v>
      </c>
      <c r="B147" s="2" t="inlineStr">
        <is>
          <t>Linguistic Resource Registry</t>
        </is>
      </c>
      <c r="C147" s="2" t="inlineStr">
        <is>
          <t>Ingestion &amp; Sensory Intake</t>
        </is>
      </c>
      <c r="D147" s="2" t="inlineStr">
        <is>
          <t>§4.9.1–§4.9.2</t>
        </is>
      </c>
      <c r="E147" s="2"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2" t="inlineStr">
        <is>
          <t>A resource is consulted only where its registered permitted-use scope encompasses the operator's declared use.</t>
        </is>
      </c>
      <c r="G147" s="2">
        <f>IF(COUNTIF({"commercial-permitted","derived-only","refused"},"commercial-permitted")&gt;0,"Register for full ingestion","Restrict or refuse")</f>
        <v/>
      </c>
    </row>
    <row r="148">
      <c r="A148" s="2" t="n">
        <v>147</v>
      </c>
      <c r="B148" s="2" t="inlineStr">
        <is>
          <t>Derived-Artifact-Only Extraction</t>
        </is>
      </c>
      <c r="C148" s="2" t="inlineStr">
        <is>
          <t>Ingestion &amp; Sensory Intake</t>
        </is>
      </c>
      <c r="D148" s="2" t="inlineStr">
        <is>
          <t>§4.9.3</t>
        </is>
      </c>
      <c r="E148" s="2"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2" t="inlineStr">
        <is>
          <t>Retained source spans attributable to a derived-artifact-only resource must equal zero.</t>
        </is>
      </c>
      <c r="G148" s="2">
        <f>IF(0=0,"Compliant - statistics retained, no source span","Refused - source span retained")</f>
        <v/>
      </c>
    </row>
    <row r="149">
      <c r="A149" s="2" t="n">
        <v>148</v>
      </c>
      <c r="B149" s="2" t="inlineStr">
        <is>
          <t>External System Behavioural Probing</t>
        </is>
      </c>
      <c r="C149" s="2" t="inlineStr">
        <is>
          <t>External Integration &amp; Analysis</t>
        </is>
      </c>
      <c r="D149" s="2" t="inlineStr">
        <is>
          <t>§96.9</t>
        </is>
      </c>
      <c r="E149" s="2"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2" t="inlineStr">
        <is>
          <t>A probe result is reportable only where a reference value measured on the identical probe is present.</t>
        </is>
      </c>
      <c r="G149" s="2">
        <f>IF(AND(8/10&gt;=0.5,1=1),"Consistency measured against reference","Incomplete - reference value absent")</f>
        <v/>
      </c>
    </row>
    <row r="150">
      <c r="A150" s="2" t="n">
        <v>149</v>
      </c>
      <c r="B150" s="2" t="inlineStr">
        <is>
          <t>Analysis Quarantine</t>
        </is>
      </c>
      <c r="C150" s="2" t="inlineStr">
        <is>
          <t>External Integration &amp; Analysis</t>
        </is>
      </c>
      <c r="D150" s="2" t="inlineStr">
        <is>
          <t>§96.10</t>
        </is>
      </c>
      <c r="E150" s="2"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2" t="inlineStr">
        <is>
          <t>An analysis record is structurally ineligible as a grounding source; exclusion occurs at slice construction, not after traversal.</t>
        </is>
      </c>
      <c r="G150" s="2">
        <f>IF(COUNTIF({"AnalyzedOutput","ProbeResult"},"ProbeResult")&gt;0,"Excluded from grounding slice","Eligible as grounding")</f>
        <v/>
      </c>
    </row>
    <row r="151">
      <c r="A151" s="2" t="n">
        <v>150</v>
      </c>
      <c r="B151" s="2" t="inlineStr">
        <is>
          <t>Attestation Horizon Constraint</t>
        </is>
      </c>
      <c r="C151" s="2" t="inlineStr">
        <is>
          <t>Inference, Prediction &amp; Calibration</t>
        </is>
      </c>
      <c r="D151" s="2" t="inlineStr">
        <is>
          <t>§103.3</t>
        </is>
      </c>
      <c r="E151" s="2"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2" t="inlineStr">
        <is>
          <t>Admissible iff T_attested &lt; T_event - horizon; contested dates resolve to the latest candidate, so uncertainty resolves toward exclusion.</t>
        </is>
      </c>
      <c r="G151" s="2">
        <f>IF(DATE(1998,3,1)&lt;DATE(2001,9,11)-90,"Admissible to pre-event snapshot","Excluded - attested after cutoff")</f>
        <v/>
      </c>
    </row>
    <row r="152">
      <c r="A152" s="2" t="n">
        <v>151</v>
      </c>
      <c r="B152" s="2" t="inlineStr">
        <is>
          <t>Retrospective Forecast Scoring</t>
        </is>
      </c>
      <c r="C152" s="2" t="inlineStr">
        <is>
          <t>Inference, Prediction &amp; Calibration</t>
        </is>
      </c>
      <c r="D152" s="2" t="inlineStr">
        <is>
          <t>§103.5</t>
        </is>
      </c>
      <c r="E152" s="2"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2" t="inlineStr">
        <is>
          <t>Mean squared error between assigned probability and realised binary outcome across the scored corpus.</t>
        </is>
      </c>
      <c r="G152" s="2">
        <f>((0.7-1)^2+(0.4-0)^2)/2</f>
        <v/>
      </c>
    </row>
    <row r="153">
      <c r="A153" s="2" t="n">
        <v>152</v>
      </c>
      <c r="B153" s="2" t="inlineStr">
        <is>
          <t>Calibration Subject Class Gate</t>
        </is>
      </c>
      <c r="C153" s="2" t="inlineStr">
        <is>
          <t>Inference, Prediction &amp; Calibration</t>
        </is>
      </c>
      <c r="D153" s="2" t="inlineStr">
        <is>
          <t>§103.6</t>
        </is>
      </c>
      <c r="E153" s="2"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2" t="inlineStr">
        <is>
          <t>Construction is refused where the resolved subject class is an individual natural person.</t>
        </is>
      </c>
      <c r="G153" s="2">
        <f>IF(COUNTIF({"institution","system","group"},"individual")&gt;0,"Refused - individual subject","Admissible - institutional subject")</f>
        <v/>
      </c>
    </row>
    <row r="154">
      <c r="A154" s="2" t="n">
        <v>153</v>
      </c>
      <c r="B154" s="2" t="inlineStr">
        <is>
          <t>Event Type Catalogue</t>
        </is>
      </c>
      <c r="C154" s="2" t="inlineStr">
        <is>
          <t>Ontology &amp; Conceptual Structure</t>
        </is>
      </c>
      <c r="D154" s="2" t="inlineStr">
        <is>
          <t>§104.2</t>
        </is>
      </c>
      <c r="E154" s="2"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2" t="inlineStr">
        <is>
          <t>A record is admitted only where every field required by its event type's MachineDefinition is present.</t>
        </is>
      </c>
      <c r="G154" s="2">
        <f>IF(COUNTIF({"StartTime","EventTypeId","ActorRef"},"EventTypeId")&gt;0,"Admit - required field present","Refused - MachineDefinition unsatisfied")</f>
        <v/>
      </c>
    </row>
    <row r="155">
      <c r="A155" s="2" t="n">
        <v>154</v>
      </c>
      <c r="B155" s="2" t="inlineStr">
        <is>
          <t>Environment Vector Normalization</t>
        </is>
      </c>
      <c r="C155" s="2" t="inlineStr">
        <is>
          <t>Ontology &amp; Conceptual Structure</t>
        </is>
      </c>
      <c r="D155" s="2" t="inlineStr">
        <is>
          <t>§104.3</t>
        </is>
      </c>
      <c r="E155" s="2"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2" t="inlineStr">
        <is>
          <t>Identical canonicalized condition sets yield an identical content hash and therefore one vector, not two.</t>
        </is>
      </c>
      <c r="G155" s="2">
        <f>IF(COUNTIF({"a1f3c7","b2c9e1"},"a1f3c7")&gt;0,"Reference existing vector","Create new vector")</f>
        <v/>
      </c>
    </row>
    <row r="156">
      <c r="A156" s="2" t="n">
        <v>155</v>
      </c>
      <c r="B156" s="2" t="inlineStr">
        <is>
          <t>Causal Edge Temporal Validation</t>
        </is>
      </c>
      <c r="C156" s="2" t="inlineStr">
        <is>
          <t>Ontology &amp; Conceptual Structure</t>
        </is>
      </c>
      <c r="D156" s="2" t="inlineStr">
        <is>
          <t>§104.4</t>
        </is>
      </c>
      <c r="E156" s="2"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2" t="inlineStr">
        <is>
          <t>CAUSES admitted iff T_start(source) &lt;= T_start(target); duration is derived at query time, never stored.</t>
        </is>
      </c>
      <c r="G156" s="2">
        <f>IF(DATE(2020,3,1)&lt;=DATE(2020,3,15),"CAUSES edge admitted","Refused - effect precedes cause")</f>
        <v/>
      </c>
    </row>
    <row r="157">
      <c r="A157" s="2" t="n">
        <v>156</v>
      </c>
      <c r="B157" s="2" t="inlineStr">
        <is>
          <t>Bayesian ConfidenceScore Posterior Update</t>
        </is>
      </c>
      <c r="C157" s="2" t="inlineStr">
        <is>
          <t>Inference, Prediction &amp; Calibration</t>
        </is>
      </c>
      <c r="D157" s="2" t="inlineStr">
        <is>
          <t>§41.6.2.1–.2</t>
        </is>
      </c>
      <c r="E157" s="2"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2" t="inlineStr">
        <is>
          <t>CS = alpha/(alpha+beta); posterior by conjugate addition alpha' = alpha + w*s, beta' = beta + w*f; order-independent.</t>
        </is>
      </c>
      <c r="G157" s="2">
        <f>18/(18+2+1)</f>
        <v/>
      </c>
    </row>
    <row r="158">
      <c r="A158" s="2" t="n">
        <v>157</v>
      </c>
      <c r="B158" s="2" t="inlineStr">
        <is>
          <t>Prior-Strength Resistance Check</t>
        </is>
      </c>
      <c r="C158" s="2" t="inlineStr">
        <is>
          <t>Inference, Prediction &amp; Calibration</t>
        </is>
      </c>
      <c r="D158" s="2" t="inlineStr">
        <is>
          <t>§41.6.2.3</t>
        </is>
      </c>
      <c r="E158" s="2"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2" t="inlineStr">
        <is>
          <t>Revision from a single contradiction against a strong prior must fall below the increment the additive rule would have applied.</t>
        </is>
      </c>
      <c r="G158" s="2">
        <f>IF(0.9-18/(18+2+1)&lt;0.05,"Strong prior resists single contradiction","Revision exceeds tolerance")</f>
        <v/>
      </c>
    </row>
    <row r="159">
      <c r="A159" s="2" t="n">
        <v>158</v>
      </c>
      <c r="B159" s="2" t="inlineStr">
        <is>
          <t>Precision-Weighted Error Propagation</t>
        </is>
      </c>
      <c r="C159" s="2" t="inlineStr">
        <is>
          <t>Inference, Prediction &amp; Calibration</t>
        </is>
      </c>
      <c r="D159" s="2" t="inlineStr">
        <is>
          <t>§41.6.4.2</t>
        </is>
      </c>
      <c r="E159" s="2"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2" t="inlineStr">
        <is>
          <t>gain = var_prior / (var_prior + var_error), equivalently pi_error / (pi_error + pi_prior); var = CS(1-CS)/(alpha+beta+1).</t>
        </is>
      </c>
      <c r="G159" s="2">
        <f>((180/200)*(20/200)/201)/(((180/200)*(20/200)/201)+((1/2)*(1/2)/3))</f>
        <v/>
      </c>
    </row>
    <row r="160">
      <c r="A160" s="2" t="n">
        <v>159</v>
      </c>
      <c r="B160" s="2" t="inlineStr">
        <is>
          <t>Low-Precision Error Suppression</t>
        </is>
      </c>
      <c r="C160" s="2" t="inlineStr">
        <is>
          <t>Inference, Prediction &amp; Calibration</t>
        </is>
      </c>
      <c r="D160" s="2" t="inlineStr">
        <is>
          <t>§41.6.4.3</t>
        </is>
      </c>
      <c r="E160" s="2"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2" t="inlineStr">
        <is>
          <t>Revision is withheld where gain &lt; configured floor; withheld contradictions are retained, not discarded.</t>
        </is>
      </c>
      <c r="G160" s="2">
        <f>IF(((180/200)*(20/200)/201)/(((180/200)*(20/200)/201)+((1/2)*(1/2)/3))&lt;0.05,"Low-precision error suppressed","Model revision applied")</f>
        <v/>
      </c>
    </row>
    <row r="161">
      <c r="A161" s="2" t="n">
        <v>160</v>
      </c>
      <c r="B161" s="2" t="inlineStr">
        <is>
          <t>Physical Constraint Enforcement</t>
        </is>
      </c>
      <c r="C161" s="2" t="inlineStr">
        <is>
          <t>World Model &amp; Perception</t>
        </is>
      </c>
      <c r="D161" s="2" t="inlineStr">
        <is>
          <t>§53.9.2</t>
        </is>
      </c>
      <c r="E161" s="2"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2" t="inlineStr">
        <is>
          <t>Admissible iff |residual| &lt;= tolerance, tolerance taken relative to the magnitude of the conserved quantity.</t>
        </is>
      </c>
      <c r="G161" s="2">
        <f>IF(ABS((2*1+1*4)-(2*3+1*0))&lt;=0.02*(2*3+1*0),"Completion admitted","Refused - conservation residual exceeds tolerance")</f>
        <v/>
      </c>
    </row>
    <row r="162">
      <c r="A162" s="2" t="n">
        <v>161</v>
      </c>
      <c r="B162" s="2" t="inlineStr">
        <is>
          <t>Constraint Residual Computation</t>
        </is>
      </c>
      <c r="C162" s="2" t="inlineStr">
        <is>
          <t>World Model &amp; Perception</t>
        </is>
      </c>
      <c r="D162" s="2" t="inlineStr">
        <is>
          <t>§53.9.2</t>
        </is>
      </c>
      <c r="E162" s="2"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2" t="inlineStr">
        <is>
          <t>Expected position under gravitational constraint h1 = h0 - 0.5*g*t^2 with g = 9.80665 m/s^2; residual is the asserted value less h1.</t>
        </is>
      </c>
      <c r="G162" s="2">
        <f>2-0.5*9.80665*0.4^2</f>
        <v/>
      </c>
    </row>
    <row r="163">
      <c r="A163" s="2" t="n">
        <v>162</v>
      </c>
      <c r="B163" s="2" t="inlineStr">
        <is>
          <t>Public API Layer</t>
        </is>
      </c>
      <c r="C163" s="2" t="inlineStr">
        <is>
          <t>External Integration &amp; Analysis</t>
        </is>
      </c>
      <c r="D163" s="2" t="inlineStr">
        <is>
          <t>§105.1</t>
        </is>
      </c>
      <c r="E163" s="2"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2" t="inlineStr">
        <is>
          <t>A call is served only where the calling identity's metered budget is not exceeded; refusal is by budget, never by throttling.</t>
        </is>
      </c>
      <c r="G163" s="2">
        <f>IF(120&lt;=150,"Within slice budget; served","Refused - slice budget exceeded")</f>
        <v/>
      </c>
    </row>
    <row r="164">
      <c r="A164" s="2" t="n">
        <v>163</v>
      </c>
      <c r="B164" s="2" t="inlineStr">
        <is>
          <t>Plugin Architecture</t>
        </is>
      </c>
      <c r="C164" s="2" t="inlineStr">
        <is>
          <t>External Integration &amp; Analysis</t>
        </is>
      </c>
      <c r="D164" s="2" t="inlineStr">
        <is>
          <t>§105.2</t>
        </is>
      </c>
      <c r="E164" s="2"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2" t="inlineStr">
        <is>
          <t>Registration is refused where the declared capability set includes any safety-evaluation operation.</t>
        </is>
      </c>
      <c r="G164" s="2">
        <f>IF(COUNTIF({"read-output","declare-capability"},"write-factgraph")&gt;0,"Activate plugin","Refused - capability not declared")</f>
        <v/>
      </c>
    </row>
    <row r="165">
      <c r="A165" s="2" t="n">
        <v>164</v>
      </c>
      <c r="B165" s="2" t="inlineStr">
        <is>
          <t>Interface Versioning</t>
        </is>
      </c>
      <c r="C165" s="2" t="inlineStr">
        <is>
          <t>External Integration &amp; Analysis</t>
        </is>
      </c>
      <c r="D165" s="2" t="inlineStr">
        <is>
          <t>§105.3</t>
        </is>
      </c>
      <c r="E165" s="2"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2" t="inlineStr">
        <is>
          <t>A request is served only where the requested version is registered and not retired.</t>
        </is>
      </c>
      <c r="G165" s="2">
        <f>IF(AND(2&gt;=1,2&lt;=3),"Served under requested version","Refused - version retired")</f>
        <v/>
      </c>
    </row>
    <row r="166">
      <c r="A166" s="2" t="n">
        <v>165</v>
      </c>
      <c r="B166" s="2" t="inlineStr">
        <is>
          <t>Collaborative Reading</t>
        </is>
      </c>
      <c r="C166" s="2" t="inlineStr">
        <is>
          <t>Interaction Surfaces</t>
        </is>
      </c>
      <c r="D166" s="2" t="inlineStr">
        <is>
          <t>§105.4</t>
        </is>
      </c>
      <c r="E166" s="2"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2" t="inlineStr">
        <is>
          <t>Shared view size is the intersection of participant scopes, not the union.</t>
        </is>
      </c>
      <c r="G166" s="2">
        <f>MIN(340,275)</f>
        <v/>
      </c>
    </row>
    <row r="167">
      <c r="A167" s="2" t="n">
        <v>166</v>
      </c>
      <c r="B167" s="2" t="inlineStr">
        <is>
          <t>AR Overlay Presentation</t>
        </is>
      </c>
      <c r="C167" s="2" t="inlineStr">
        <is>
          <t>Interaction Surfaces</t>
        </is>
      </c>
      <c r="D167" s="2" t="inlineStr">
        <is>
          <t>§105.5</t>
        </is>
      </c>
      <c r="E167" s="2"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2" t="inlineStr">
        <is>
          <t>A person- or animal-classified result is never anchored, at any confidence and in any configuration.</t>
        </is>
      </c>
      <c r="G167" s="2">
        <f>IF(COUNTIF({"object","person","animal"},"person")&gt;0,"Excluded from overlay","Anchor overlay to object")</f>
        <v/>
      </c>
    </row>
    <row r="168">
      <c r="A168" s="2" t="n">
        <v>167</v>
      </c>
      <c r="B168" s="2" t="inlineStr">
        <is>
          <t>Voice Navigation</t>
        </is>
      </c>
      <c r="C168" s="2" t="inlineStr">
        <is>
          <t>Interaction Surfaces</t>
        </is>
      </c>
      <c r="D168" s="2" t="inlineStr">
        <is>
          <t>§105.6</t>
        </is>
      </c>
      <c r="E168" s="2"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2" t="inlineStr">
        <is>
          <t>Intent is applied only where classification clears the configured confidence threshold under active consent.</t>
        </is>
      </c>
      <c r="G168" s="2">
        <f>IF(AND(1=1,0.82&gt;=0.7),"Routed as operational intent","Clarification requested")</f>
        <v/>
      </c>
    </row>
    <row r="169">
      <c r="A169" s="2" t="n">
        <v>168</v>
      </c>
      <c r="B169" s="2" t="inlineStr">
        <is>
          <t>Spoiler Protection</t>
        </is>
      </c>
      <c r="C169" s="2" t="inlineStr">
        <is>
          <t>Interaction Surfaces</t>
        </is>
      </c>
      <c r="D169" s="2" t="inlineStr">
        <is>
          <t>§105.7</t>
        </is>
      </c>
      <c r="E169" s="2"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2" t="inlineStr">
        <is>
          <t>A Fact Unit is traversable only where its narrative position does not exceed the reader's progress marker.</t>
        </is>
      </c>
      <c r="G169" s="2">
        <f>IF(14&lt;=22,"Within reader position; shown","Masked - beyond reader position")</f>
        <v/>
      </c>
    </row>
    <row r="170">
      <c r="A170" s="2" t="n">
        <v>169</v>
      </c>
      <c r="B170" s="2" t="inlineStr">
        <is>
          <t>Learner Progress Tracking</t>
        </is>
      </c>
      <c r="C170" s="2" t="inlineStr">
        <is>
          <t>Learning &amp; Assessment</t>
        </is>
      </c>
      <c r="D170" s="2" t="inlineStr">
        <is>
          <t>§105.8</t>
        </is>
      </c>
      <c r="E170" s="2"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2" t="inlineStr">
        <is>
          <t>Mastery = correct items attributable to the objective / items attempted, against the configured threshold.</t>
        </is>
      </c>
      <c r="G170" s="2">
        <f>IF(17/20&gt;=0.8,"Objective met","Continue practice")</f>
        <v/>
      </c>
    </row>
    <row r="171">
      <c r="A171" s="2" t="n">
        <v>170</v>
      </c>
      <c r="B171" s="2" t="inlineStr">
        <is>
          <t>LMS Integration</t>
        </is>
      </c>
      <c r="C171" s="2" t="inlineStr">
        <is>
          <t>External Integration &amp; Analysis</t>
        </is>
      </c>
      <c r="D171" s="2" t="inlineStr">
        <is>
          <t>§105.9</t>
        </is>
      </c>
      <c r="E171" s="2"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2" t="inlineStr">
        <is>
          <t>An operation proceeds only where its capability is declared in the registered connector contract.</t>
        </is>
      </c>
      <c r="G171" s="2">
        <f>IF(COUNTIF({"roster-read","grade-write"},"grade-write")&gt;0,"Grade passback permitted","Refused - capability undeclared")</f>
        <v/>
      </c>
    </row>
    <row r="172">
      <c r="A172" s="2" t="n">
        <v>171</v>
      </c>
      <c r="B172" s="2" t="inlineStr">
        <is>
          <t>Multi-Edition Print Layout</t>
        </is>
      </c>
      <c r="C172" s="2" t="inlineStr">
        <is>
          <t>Authoring, Editions &amp; Publication</t>
        </is>
      </c>
      <c r="D172" s="2" t="inlineStr">
        <is>
          <t>§105.10</t>
        </is>
      </c>
      <c r="E172" s="2"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2" t="inlineStr">
        <is>
          <t>Composition proceeds only where rights validation permits print reproduction in the requested territory, quantity and interval.</t>
        </is>
      </c>
      <c r="G172" s="2">
        <f>IF(AND(1=1,3&lt;=3),"Print export authorized","Refused - rights or edition count")</f>
        <v/>
      </c>
    </row>
    <row r="173">
      <c r="A173" s="2" t="n">
        <v>172</v>
      </c>
      <c r="B173" s="2" t="inlineStr">
        <is>
          <t>Certification</t>
        </is>
      </c>
      <c r="C173" s="2" t="inlineStr">
        <is>
          <t>Learning &amp; Assessment</t>
        </is>
      </c>
      <c r="D173" s="2" t="inlineStr">
        <is>
          <t>§105.11</t>
        </is>
      </c>
      <c r="E173" s="2"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2" t="inlineStr">
        <is>
          <t>Issuance requires threshold satisfaction AND identity establishment; neither alone suffices.</t>
        </is>
      </c>
      <c r="G173" s="2">
        <f>IF(AND(0.85&gt;=0.8,1=1),"Credential issued","Withheld - threshold or identity unmet")</f>
        <v/>
      </c>
    </row>
    <row r="174">
      <c r="A174" s="2" t="n">
        <v>173</v>
      </c>
      <c r="B174" s="2" t="inlineStr">
        <is>
          <t>Rights and Licensing Portal</t>
        </is>
      </c>
      <c r="C174" s="2" t="inlineStr">
        <is>
          <t>Access, Rights &amp; Retention</t>
        </is>
      </c>
      <c r="D174" s="2" t="inlineStr">
        <is>
          <t>§105.12</t>
        </is>
      </c>
      <c r="E174" s="2"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2" t="inlineStr">
        <is>
          <t>A portal action is available only where the acting role already holds that capability elsewhere.</t>
        </is>
      </c>
      <c r="G174" s="2">
        <f>IF(COUNTIF({"view","revoke"},"grant")&gt;0,"Action available to role","Read-only view")</f>
        <v/>
      </c>
    </row>
    <row r="175">
      <c r="A175" s="2" t="n">
        <v>174</v>
      </c>
      <c r="B175" s="2" t="inlineStr">
        <is>
          <t>Hyperedge Attention</t>
        </is>
      </c>
      <c r="C175" s="2" t="inlineStr">
        <is>
          <t>World Model &amp; Perception</t>
        </is>
      </c>
      <c r="D175" s="2" t="inlineStr">
        <is>
          <t>§53.7.1</t>
        </is>
      </c>
      <c r="E175" s="2"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2" t="inlineStr">
        <is>
          <t>Constituent weight = CS_i * (alpha_i + beta_i), normalized across the hyperedge's constituents.</t>
        </is>
      </c>
      <c r="G175" s="2">
        <f>0.92*20/(0.92*20+0.85*6+0.78*3)</f>
        <v/>
      </c>
    </row>
    <row r="176">
      <c r="A176" s="2" t="n">
        <v>175</v>
      </c>
      <c r="B176" s="2" t="inlineStr">
        <is>
          <t>Attractor-Based Hyperedge Completion</t>
        </is>
      </c>
      <c r="C176" s="2" t="inlineStr">
        <is>
          <t>World Model &amp; Perception</t>
        </is>
      </c>
      <c r="D176" s="2" t="inlineStr">
        <is>
          <t>§53.7.2</t>
        </is>
      </c>
      <c r="E176" s="2"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2" t="inlineStr">
        <is>
          <t>Completion is admitted only where attention-weighted support for the converged configuration clears the configured floor.</t>
        </is>
      </c>
      <c r="G176" s="2">
        <f>IF(0.712&gt;=0.6,"Hyperedge completed","Insufficient support - gap reported")</f>
        <v/>
      </c>
    </row>
    <row r="177">
      <c r="A177" s="2" t="n">
        <v>176</v>
      </c>
      <c r="B177" s="2" t="inlineStr">
        <is>
          <t>Domain Transfer Matrix</t>
        </is>
      </c>
      <c r="C177" s="2" t="inlineStr">
        <is>
          <t>Prime Directive</t>
        </is>
      </c>
      <c r="D177" s="2" t="inlineStr">
        <is>
          <t>§106.4</t>
        </is>
      </c>
      <c r="E177" s="2"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2" t="inlineStr">
        <is>
          <t>A crossing proceeds only where the matrix entry is ALLOW or a satisfied TRANSFORM-REQUIRED; an absent entry is DENY.</t>
        </is>
      </c>
      <c r="G177" s="2">
        <f>IF(COUNTIF({"ALLOW","TRANSFORM-REQUIRED"},"DENY")&gt;0,"Transfer permitted","Refused - DENY edge in matrix")</f>
        <v/>
      </c>
    </row>
    <row r="178">
      <c r="A178" s="2" t="n">
        <v>177</v>
      </c>
      <c r="B178" s="2" t="inlineStr">
        <is>
          <t>Query/Ingestion Path Separation</t>
        </is>
      </c>
      <c r="C178" s="2" t="inlineStr">
        <is>
          <t>Prime Directive</t>
        </is>
      </c>
      <c r="D178" s="2" t="inlineStr">
        <is>
          <t>§106.3</t>
        </is>
      </c>
      <c r="E178" s="2"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2" t="inlineStr">
        <is>
          <t>Intersection of the query-path and ingestion-path domain sets must not exceed two (governance and substrate).</t>
        </is>
      </c>
      <c r="G178" s="2">
        <f>IF(2&lt;=2,"Path separation holds","Contention risk - shared domain on both paths")</f>
        <v/>
      </c>
    </row>
    <row r="179">
      <c r="A179" s="2" t="n">
        <v>178</v>
      </c>
      <c r="B179" s="2" t="inlineStr">
        <is>
          <t>Domain Slice Priority Ordering</t>
        </is>
      </c>
      <c r="C179" s="2" t="inlineStr">
        <is>
          <t>Prime Directive</t>
        </is>
      </c>
      <c r="D179" s="2" t="inlineStr">
        <is>
          <t>§106.5</t>
        </is>
      </c>
      <c r="E179" s="2"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2" t="inlineStr">
        <is>
          <t>Governance domain priority must strictly precede commerce domain priority in the scheduling order.</t>
        </is>
      </c>
      <c r="G179" s="2">
        <f>IF(0&lt;13,"Safety slice served ahead of commerce slice","Priority inversion")</f>
        <v/>
      </c>
    </row>
    <row r="180">
      <c r="A180" s="2" t="n">
        <v>179</v>
      </c>
      <c r="B180" s="2" t="inlineStr">
        <is>
          <t>Undiscriminated Hypothesis Detection</t>
        </is>
      </c>
      <c r="C180" s="2" t="inlineStr">
        <is>
          <t>Inference, Prediction &amp; Calibration</t>
        </is>
      </c>
      <c r="D180" s="2" t="inlineStr">
        <is>
          <t>§97.8.1</t>
        </is>
      </c>
      <c r="E180" s="2"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2" t="inlineStr">
        <is>
          <t>Undiscriminated where |P(H1) - P(H2)| &lt; separation floor and both accumulated evidence counts exceed the minimum.</t>
        </is>
      </c>
      <c r="G180" s="2">
        <f>IF(ABS(12/16-11/16)&lt;0.15,"Undiscriminated - generate crucial instance","Separated; no instance required")</f>
        <v/>
      </c>
    </row>
    <row r="181">
      <c r="A181" s="2" t="n">
        <v>180</v>
      </c>
      <c r="B181" s="2" t="inlineStr">
        <is>
          <t>Discriminating Instance Selection</t>
        </is>
      </c>
      <c r="C181" s="2" t="inlineStr">
        <is>
          <t>Inference, Prediction &amp; Calibration</t>
        </is>
      </c>
      <c r="D181" s="2" t="inlineStr">
        <is>
          <t>§97.8.2</t>
        </is>
      </c>
      <c r="E181" s="2"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2" t="inlineStr">
        <is>
          <t>discrimination(E) = |P(E|H1) - P(E|H2)|; the selected instance maximises it and must clear the discrimination floor.</t>
        </is>
      </c>
      <c r="G181" s="2">
        <f>MAX(ABS(0.9-0.85),ABS(0.88-0.2),ABS(0.55-0.5))</f>
        <v/>
      </c>
    </row>
    <row r="182">
      <c r="A182" s="2" t="n">
        <v>181</v>
      </c>
      <c r="B182" s="2" t="inlineStr">
        <is>
          <t>Hybrid and Edge Deployment Topology</t>
        </is>
      </c>
      <c r="C182" s="2" t="inlineStr">
        <is>
          <t>Platform Governance &amp; Evolution</t>
        </is>
      </c>
      <c r="D182" s="2" t="inlineStr">
        <is>
          <t>§107.1</t>
        </is>
      </c>
      <c r="E182" s="2"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2" t="inlineStr">
        <is>
          <t>An edge node serves from cache only where scope admits every cached record consulted and currency is verified; otherwise it escalates.</t>
        </is>
      </c>
      <c r="G182" s="2">
        <f>IF(AND(1=1,45&lt;=80),"Edge node serves from local cache","Escalate to origin mesh")</f>
        <v/>
      </c>
    </row>
    <row r="183">
      <c r="A183" s="2" t="n">
        <v>182</v>
      </c>
      <c r="B183" s="2" t="inlineStr">
        <is>
          <t>Media and Immersion Interfaces</t>
        </is>
      </c>
      <c r="C183" s="2" t="inlineStr">
        <is>
          <t>Interaction Surfaces</t>
        </is>
      </c>
      <c r="D183" s="2" t="inlineStr">
        <is>
          <t>§107.3</t>
        </is>
      </c>
      <c r="E183" s="2"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2" t="inlineStr">
        <is>
          <t>An interface call is served only where the requested interface is a registered member of the interface set.</t>
        </is>
      </c>
      <c r="G183" s="2">
        <f>IF(COUNTIF({"content","query","rights","layout","assessment","edition","semantic","media","immersion"},"media")&gt;0,"Interface registered","Refused - unknown interface")</f>
        <v/>
      </c>
    </row>
    <row r="184">
      <c r="A184" s="2" t="n">
        <v>183</v>
      </c>
      <c r="B184" s="2" t="inlineStr">
        <is>
          <t>Domain Module Replacement</t>
        </is>
      </c>
      <c r="C184" s="2" t="inlineStr">
        <is>
          <t>Platform Governance &amp; Evolution</t>
        </is>
      </c>
      <c r="D184" s="2" t="inlineStr">
        <is>
          <t>§107.2</t>
        </is>
      </c>
      <c r="E184" s="2"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2" t="inlineStr">
        <is>
          <t>Replacement admitted only where interface-version conformance and transfer-matrix conformance both hold.</t>
        </is>
      </c>
      <c r="G184" s="2">
        <f>IF(AND(2&gt;=2,3&lt;=3),"Module replacement admitted","Refused - interface contract unmet")</f>
        <v/>
      </c>
    </row>
    <row r="185">
      <c r="A185" s="2" t="n">
        <v>184</v>
      </c>
      <c r="B185" s="2" t="inlineStr">
        <is>
          <t>Parallel Multilingual Presentation</t>
        </is>
      </c>
      <c r="C185" s="2" t="inlineStr">
        <is>
          <t>Grounded Expression</t>
        </is>
      </c>
      <c r="D185" s="2" t="inlineStr">
        <is>
          <t>§107.4</t>
        </is>
      </c>
      <c r="E185" s="2"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2" t="inlineStr">
        <is>
          <t>Alignment confidence is bounded by the least confident of the aligned realizations.</t>
        </is>
      </c>
      <c r="G185" s="2">
        <f>MIN(0.94,0.91)</f>
        <v/>
      </c>
    </row>
    <row r="186">
      <c r="A186" s="2" t="n">
        <v>185</v>
      </c>
      <c r="B186" s="2" t="inlineStr">
        <is>
          <t>Tenant-Scoped Key Custody</t>
        </is>
      </c>
      <c r="C186" s="2" t="inlineStr">
        <is>
          <t>Access, Rights &amp; Retention</t>
        </is>
      </c>
      <c r="D186" s="2" t="inlineStr">
        <is>
          <t>§107.5</t>
        </is>
      </c>
      <c r="E186" s="2"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2" t="inlineStr">
        <is>
          <t>A decryption proceeds only where a key scoped to the requesting tenant resolves.</t>
        </is>
      </c>
      <c r="G186" s="2">
        <f>IF(COUNTIF({"tenant-A","tenant-B"},"tenant-A")&gt;0,"Key resolved for tenant","Refused - no tenant key")</f>
        <v/>
      </c>
    </row>
    <row r="187">
      <c r="A187" s="2" t="n">
        <v>186</v>
      </c>
      <c r="B187" s="2" t="inlineStr">
        <is>
          <t>Signed Provenance Ledger Verification</t>
        </is>
      </c>
      <c r="C187" s="2" t="inlineStr">
        <is>
          <t>Access, Rights &amp; Retention</t>
        </is>
      </c>
      <c r="D187" s="2" t="inlineStr">
        <is>
          <t>§107.5</t>
        </is>
      </c>
      <c r="E187" s="2"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2" t="inlineStr">
        <is>
          <t>A ledger entry is admitted to a verification report only where its signature verifies against the deployment key.</t>
        </is>
      </c>
      <c r="G187" s="2">
        <f>IF(0.88&gt;=0.8,"Signature verified; entry admitted","Refused - ledger signature mismatch")</f>
        <v/>
      </c>
    </row>
    <row r="188">
      <c r="A188" s="2" t="n">
        <v>187</v>
      </c>
      <c r="B188" s="2" t="inlineStr">
        <is>
          <t>Reasoning Mode Classification</t>
        </is>
      </c>
      <c r="C188" s="2" t="inlineStr">
        <is>
          <t>Inference, Prediction &amp; Calibration</t>
        </is>
      </c>
      <c r="D188" s="2" t="inlineStr">
        <is>
          <t>§108.1</t>
        </is>
      </c>
      <c r="E188" s="2"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2" t="inlineStr">
        <is>
          <t>An inference is admitted as a record only where it is entailed; a conjectural inference is emitted PROPOSED and creates nothing.</t>
        </is>
      </c>
      <c r="G188" s="2">
        <f>IF(COUNTIF({"entailed","conjectural"},"conjectural")&gt;0,"Refused - emit as PROPOSED","Admit as fact")</f>
        <v/>
      </c>
    </row>
    <row r="189">
      <c r="A189" s="2" t="n">
        <v>188</v>
      </c>
      <c r="B189" s="2" t="inlineStr">
        <is>
          <t>Inductive Support Threshold</t>
        </is>
      </c>
      <c r="C189" s="2" t="inlineStr">
        <is>
          <t>Inference, Prediction &amp; Calibration</t>
        </is>
      </c>
      <c r="D189" s="2" t="inlineStr">
        <is>
          <t>§108.3</t>
        </is>
      </c>
      <c r="E189" s="2"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2" t="inlineStr">
        <is>
          <t>A generalization is proposed only where the subordinate count clears the minimum and the supporting evidence exceeds the contradicting evidence.</t>
        </is>
      </c>
      <c r="G189" s="2">
        <f>IF(AND(4&gt;=3,0.78&gt;0.62),"Inductive support sufficient; hypothesis proposed","Insufficient - no proposal")</f>
        <v/>
      </c>
    </row>
    <row r="190">
      <c r="A190" s="2" t="n">
        <v>189</v>
      </c>
      <c r="B190" s="2" t="inlineStr">
        <is>
          <t>Observation Diversity Measure</t>
        </is>
      </c>
      <c r="C190" s="2" t="inlineStr">
        <is>
          <t>Inference, Prediction &amp; Calibration</t>
        </is>
      </c>
      <c r="D190" s="2" t="inlineStr">
        <is>
          <t>§41.6.5.2</t>
        </is>
      </c>
      <c r="E190" s="2"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2" t="inlineStr">
        <is>
          <t>D = 1 / sum_i (w_i / sum_j w_j)^2 over registered source classes; D=1 where all weight is in one class.</t>
        </is>
      </c>
      <c r="G190" s="2">
        <f>1/((8/20)^2+(4/20)^2+(4/20)^2+(2/20)^2+(2/20)^2)</f>
        <v/>
      </c>
    </row>
    <row r="191">
      <c r="A191" s="2" t="n">
        <v>190</v>
      </c>
      <c r="B191" s="2" t="inlineStr">
        <is>
          <t>Context Modulation</t>
        </is>
      </c>
      <c r="C191" s="2" t="inlineStr">
        <is>
          <t>Interaction Surfaces</t>
        </is>
      </c>
      <c r="D191" s="2" t="inlineStr">
        <is>
          <t>§109.2</t>
        </is>
      </c>
      <c r="E191" s="2"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2" t="inlineStr">
        <is>
          <t>A modulation is applied only where it leaves the admissible record set unchanged; otherwise it is refused.</t>
        </is>
      </c>
      <c r="G191" s="2">
        <f>IF(AND(1=1,0=0),"Modulation applied within admissible set","Refused - would alter admissible set")</f>
        <v/>
      </c>
    </row>
    <row r="192">
      <c r="A192" s="2" t="n">
        <v>191</v>
      </c>
      <c r="B192" s="2" t="inlineStr">
        <is>
          <t>Perspective Modulation</t>
        </is>
      </c>
      <c r="C192" s="2" t="inlineStr">
        <is>
          <t>Interaction Surfaces</t>
        </is>
      </c>
      <c r="D192" s="2" t="inlineStr">
        <is>
          <t>§109.3</t>
        </is>
      </c>
      <c r="E192" s="2"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2" t="inlineStr">
        <is>
          <t>A perspective lens is applied where the elected role is registered; it alters ordering and framing, never the admitted set.</t>
        </is>
      </c>
      <c r="G192" s="2">
        <f>IF(COUNTIF({"reader","instructor","operator"},"instructor")&gt;0,"Role lens applied","Default lens")</f>
        <v/>
      </c>
    </row>
    <row r="193">
      <c r="A193" s="2" t="n">
        <v>192</v>
      </c>
      <c r="B193" s="2" t="inlineStr">
        <is>
          <t>Ergonomic Modulation</t>
        </is>
      </c>
      <c r="C193" s="2" t="inlineStr">
        <is>
          <t>Interaction Surfaces</t>
        </is>
      </c>
      <c r="D193" s="2" t="inlineStr">
        <is>
          <t>§109.4</t>
        </is>
      </c>
      <c r="E193" s="2"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2" t="inlineStr">
        <is>
          <t>Stated preference governs wherever a stated and an inferred signal bear on the same dimension.</t>
        </is>
      </c>
      <c r="G193" s="2">
        <f>IF(COUNTIF({"stated","inferred"},"stated")&gt;0,"Stated preference governs","Inferred signal applied")</f>
        <v/>
      </c>
    </row>
    <row r="194">
      <c r="A194" s="2" t="n">
        <v>193</v>
      </c>
      <c r="B194" s="2" t="inlineStr">
        <is>
          <t>Cultural Modulation</t>
        </is>
      </c>
      <c r="C194" s="2" t="inlineStr">
        <is>
          <t>Interaction Surfaces</t>
        </is>
      </c>
      <c r="D194" s="2" t="inlineStr">
        <is>
          <t>§109.5</t>
        </is>
      </c>
      <c r="E194" s="2"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2" t="inlineStr">
        <is>
          <t>A cultural modulation applies only from a declared profile; an inferred profile is refused.</t>
        </is>
      </c>
      <c r="G194" s="2">
        <f>IF(COUNTIF({"declared","inferred"},"inferred")&gt;0,"Refused - cultural profile must be declared","Declared profile applied")</f>
        <v/>
      </c>
    </row>
    <row r="195">
      <c r="A195" s="2" t="n">
        <v>194</v>
      </c>
      <c r="B195" s="2" t="inlineStr">
        <is>
          <t>Social Modulation</t>
        </is>
      </c>
      <c r="C195" s="2" t="inlineStr">
        <is>
          <t>Interaction Surfaces</t>
        </is>
      </c>
      <c r="D195" s="2" t="inlineStr">
        <is>
          <t>§109.6</t>
        </is>
      </c>
      <c r="E195" s="2"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2" t="inlineStr">
        <is>
          <t>Social modulation operates within the intersection of participant scopes, never their union.</t>
        </is>
      </c>
      <c r="G195" s="2">
        <f>MIN(340,275)</f>
        <v/>
      </c>
    </row>
    <row r="196">
      <c r="A196" s="2" t="n">
        <v>195</v>
      </c>
      <c r="B196" s="2" t="inlineStr">
        <is>
          <t>Interpretive Composition Order</t>
        </is>
      </c>
      <c r="C196" s="2" t="inlineStr">
        <is>
          <t>Prime Directive</t>
        </is>
      </c>
      <c r="D196" s="2" t="inlineStr">
        <is>
          <t>§109.7</t>
        </is>
      </c>
      <c r="E196" s="2"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2" t="inlineStr">
        <is>
          <t>Governance review precedes stage 1 and follows stage 6; a stated preference overrides an inferred signal at any stage.</t>
        </is>
      </c>
      <c r="G196" s="2">
        <f>IF(0&lt;1,"Safety modulation precedes all interpretive layers","Precedence inversion")</f>
        <v/>
      </c>
    </row>
    <row r="197">
      <c r="A197" s="2" t="n">
        <v>196</v>
      </c>
      <c r="B197" s="2" t="inlineStr">
        <is>
          <t>Response Feedback Admission</t>
        </is>
      </c>
      <c r="C197" s="2" t="inlineStr">
        <is>
          <t>Inference, Prediction &amp; Calibration</t>
        </is>
      </c>
      <c r="D197" s="2" t="inlineStr">
        <is>
          <t>§110.2Reader</t>
        </is>
      </c>
      <c r="E197" s="2"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2" t="inlineStr">
        <is>
          <t>A contradicting report increments beta by the reporting source's reliability weight; confidence follows from §41.6.2 arithmetic.</t>
        </is>
      </c>
      <c r="G197" s="2">
        <f>18/(18+2+0.85)</f>
        <v/>
      </c>
    </row>
    <row r="198">
      <c r="A198" s="2" t="n">
        <v>197</v>
      </c>
      <c r="B198" s="2" t="inlineStr">
        <is>
          <t>Outcome Pairing and Subject Gate</t>
        </is>
      </c>
      <c r="C198" s="2" t="inlineStr">
        <is>
          <t>Inference, Prediction &amp; Calibration</t>
        </is>
      </c>
      <c r="D198" s="2" t="inlineStr">
        <is>
          <t>§110.3</t>
        </is>
      </c>
      <c r="E198" s="2"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2" t="inlineStr">
        <is>
          <t>Construction is refused where the resolved subject class is an individual natural person.</t>
        </is>
      </c>
      <c r="G198" s="2">
        <f>IF(COUNTIF({"institution","process"},"individual")&gt;0,"Refused - individual subject","Outcome admitted")</f>
        <v/>
      </c>
    </row>
    <row r="199">
      <c r="A199" s="2" t="n">
        <v>198</v>
      </c>
      <c r="B199" s="2" t="inlineStr">
        <is>
          <t>Delivered-Answer Calibration Score</t>
        </is>
      </c>
      <c r="C199" s="2" t="inlineStr">
        <is>
          <t>Inference, Prediction &amp; Calibration</t>
        </is>
      </c>
      <c r="D199" s="2" t="inlineStr">
        <is>
          <t>§110.4</t>
        </is>
      </c>
      <c r="E199" s="2"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2" t="inlineStr">
        <is>
          <t>score = sum (c_i - o_i)^2 / n over paired responses and outcomes.</t>
        </is>
      </c>
      <c r="G199" s="2">
        <f>((0.9-1)^2+(0.85-1)^2+(0.8-0)^2+(0.75-1)^2+(0.7-0)^2)/5</f>
        <v/>
      </c>
    </row>
    <row r="200">
      <c r="A200" s="2" t="n">
        <v>199</v>
      </c>
      <c r="B200" s="2" t="inlineStr">
        <is>
          <t>Confidence Band Calibration Gap</t>
        </is>
      </c>
      <c r="C200" s="2" t="inlineStr">
        <is>
          <t>Inference, Prediction &amp; Calibration</t>
        </is>
      </c>
      <c r="D200" s="2" t="inlineStr">
        <is>
          <t>§110.4</t>
        </is>
      </c>
      <c r="E200" s="2"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2" t="inlineStr">
        <is>
          <t>gap = observed outcome rate - mean stated confidence within the band; |gap| &gt;= tolerance raises a finding.</t>
        </is>
      </c>
      <c r="G200" s="2">
        <f>IF(ABS((1+1+0+1+1)/5-(0.9+0.85+0.8+0.88+0.92)/5)&gt;=0.05,"Calibration finding raised","Within tolerance")</f>
        <v/>
      </c>
    </row>
    <row r="201">
      <c r="A201" s="2" t="n">
        <v>200</v>
      </c>
      <c r="B201" s="2" t="inlineStr">
        <is>
          <t>Expressive Register Selection</t>
        </is>
      </c>
      <c r="C201" s="2" t="inlineStr">
        <is>
          <t>Grounded Expression</t>
        </is>
      </c>
      <c r="D201" s="2" t="inlineStr">
        <is>
          <t>§111.1</t>
        </is>
      </c>
      <c r="E201" s="2"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2" t="inlineStr">
        <is>
          <t>A register is admitted only where it is a member of the registered set; voicing is governed by register, assertion by confidence.</t>
        </is>
      </c>
      <c r="G201" s="2">
        <f>IF(COUNTIF({"formal","casual","academic","instructional","narrative","supportive","authoritative"},"academic")&gt;0,"Register admitted","Refused - unregistered tone")</f>
        <v/>
      </c>
    </row>
    <row r="202">
      <c r="A202" s="2" t="n">
        <v>201</v>
      </c>
      <c r="B202" s="2" t="inlineStr">
        <is>
          <t>Affective Register Gate</t>
        </is>
      </c>
      <c r="C202" s="2" t="inlineStr">
        <is>
          <t>Grounded Expression</t>
        </is>
      </c>
      <c r="D202" s="2" t="inlineStr">
        <is>
          <t>§111.2</t>
        </is>
      </c>
      <c r="E202" s="2"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2" t="inlineStr">
        <is>
          <t>The affective register requires a stated preference, a configured default, or a consented signal; an inferred affective state is refused.</t>
        </is>
      </c>
      <c r="G202" s="2">
        <f>IF(COUNTIF({"stated","consented-signal"},"inferred-from-text")&gt;0,"Affective register applied","Refused - affective register requires a stated or consented signal")</f>
        <v/>
      </c>
    </row>
    <row r="203">
      <c r="A203" s="2" t="n">
        <v>202</v>
      </c>
      <c r="B203" s="2" t="inlineStr">
        <is>
          <t>Media-Integrated Expression</t>
        </is>
      </c>
      <c r="C203" s="2" t="inlineStr">
        <is>
          <t>Grounded Expression</t>
        </is>
      </c>
      <c r="D203" s="2" t="inlineStr">
        <is>
          <t>§111.3</t>
        </is>
      </c>
      <c r="E203" s="2"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2" t="inlineStr">
        <is>
          <t>An asset is included only where it is referenced by an admitted record within the scope description, and is delivered with that record's citation.</t>
        </is>
      </c>
      <c r="G203" s="2">
        <f>IF(AND(1=1,0.91&gt;=0.6),"Media asset admitted with citation","Refused - asset does not support a cited record")</f>
        <v/>
      </c>
    </row>
    <row r="204">
      <c r="A204" s="2" t="n">
        <v>203</v>
      </c>
      <c r="B204" s="2" t="inlineStr">
        <is>
          <t>Sentence Aggregation</t>
        </is>
      </c>
      <c r="C204" s="2" t="inlineStr">
        <is>
          <t>Grounded Expression</t>
        </is>
      </c>
      <c r="D204" s="2" t="inlineStr">
        <is>
          <t>§112.2</t>
        </is>
      </c>
      <c r="E204" s="2"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2" t="inlineStr">
        <is>
          <t>Aggregate where shared-subject propositions number at least two and their confidence values fall within the configured tolerance.</t>
        </is>
      </c>
      <c r="G204" s="2">
        <f>IF(AND(3&gt;=2,1=1),"Aggregate into one sentence","Realize separately")</f>
        <v/>
      </c>
    </row>
    <row r="205">
      <c r="A205" s="2" t="n">
        <v>204</v>
      </c>
      <c r="B205" s="2" t="inlineStr">
        <is>
          <t>Referring Expression Selection</t>
        </is>
      </c>
      <c r="C205" s="2" t="inlineStr">
        <is>
          <t>Grounded Expression</t>
        </is>
      </c>
      <c r="D205" s="2" t="inlineStr">
        <is>
          <t>§112.3</t>
        </is>
      </c>
      <c r="E205" s="2"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2" t="inlineStr">
        <is>
          <t>Reduced form is permitted only where no same-type entity intervenes since the last full mention within the discourse unit.</t>
        </is>
      </c>
      <c r="G205" s="2">
        <f>IF(COUNTIF({"first-mention","same-type-intervening"},"same-type-intervening")&gt;0,"Full form required","Reduced form permitted")</f>
        <v/>
      </c>
    </row>
    <row r="206">
      <c r="A206" s="2" t="n">
        <v>205</v>
      </c>
      <c r="B206" s="2" t="inlineStr">
        <is>
          <t>Connective Emission</t>
        </is>
      </c>
      <c r="C206" s="2" t="inlineStr">
        <is>
          <t>Grounded Expression</t>
        </is>
      </c>
      <c r="D206" s="2" t="inlineStr">
        <is>
          <t>§112.4</t>
        </is>
      </c>
      <c r="E206" s="2"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2" t="inlineStr">
        <is>
          <t>A connective is emitted only where a typed edge joins the two propositions; the class follows the edge type.</t>
        </is>
      </c>
      <c r="G206" s="2">
        <f>IF(COUNTIF({"CONTRASTS","CAUSES","ELABORATES"},"CONTRASTS")&gt;0,"Emit contrastive connective","No connective")</f>
        <v/>
      </c>
    </row>
    <row r="207">
      <c r="A207" s="2" t="n">
        <v>206</v>
      </c>
      <c r="B207" s="2" t="inlineStr">
        <is>
          <t>Given-Before-New Ordering</t>
        </is>
      </c>
      <c r="C207" s="2" t="inlineStr">
        <is>
          <t>Grounded Expression</t>
        </is>
      </c>
      <c r="D207" s="2" t="inlineStr">
        <is>
          <t>§112.5</t>
        </is>
      </c>
      <c r="E207" s="2"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2" t="inlineStr">
        <is>
          <t>A constituent realized in the preceding sentence is ordered ahead of one not yet realized, where target-language syntax permits.</t>
        </is>
      </c>
      <c r="G207" s="2">
        <f>MIN(4,MAX(1,3))</f>
        <v/>
      </c>
    </row>
    <row r="208">
      <c r="A208" s="2" t="n">
        <v>207</v>
      </c>
      <c r="B208" s="2" t="inlineStr">
        <is>
          <t>Fingerprint-Bounded Lexical Variation</t>
        </is>
      </c>
      <c r="C208" s="2" t="inlineStr">
        <is>
          <t>Grounded Expression</t>
        </is>
      </c>
      <c r="D208" s="2" t="inlineStr">
        <is>
          <t>§112.6</t>
        </is>
      </c>
      <c r="E208" s="2"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2" t="inlineStr">
        <is>
          <t>A substitution is admitted only where the canonicalized triple's semantic fingerprint is preserved.</t>
        </is>
      </c>
      <c r="G208" s="2">
        <f>IF(0.94&gt;=0.9,"Substitution admitted; fingerprint preserved","Refused - fingerprint would change")</f>
        <v/>
      </c>
    </row>
    <row r="209">
      <c r="A209" s="2" t="n">
        <v>208</v>
      </c>
      <c r="B209" s="2" t="inlineStr">
        <is>
          <t>Commercial Eligibility Determination</t>
        </is>
      </c>
      <c r="C209" s="2" t="inlineStr">
        <is>
          <t>Commerce &amp; Entitlement Tokens</t>
        </is>
      </c>
      <c r="D209" s="2" t="inlineStr">
        <is>
          <t>§113.1</t>
        </is>
      </c>
      <c r="E209" s="2"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2" t="inlineStr">
        <is>
          <t>Eligibility is computed from declared request facts only; any inferred personal signal is barred from the determination.</t>
        </is>
      </c>
      <c r="G209" s="2">
        <f>IF(COUNTIF({"rights","territory","edition","device"},"cognitive-load")&gt;0,"Refused - inferred signal barred from commerce","Eligibility computed from declared facts")</f>
        <v/>
      </c>
    </row>
    <row r="210">
      <c r="A210" s="2" t="n">
        <v>209</v>
      </c>
      <c r="B210" s="2" t="inlineStr">
        <is>
          <t>Placement Class and Density Ceiling</t>
        </is>
      </c>
      <c r="C210" s="2" t="inlineStr">
        <is>
          <t>Commerce &amp; Entitlement Tokens</t>
        </is>
      </c>
      <c r="D210" s="2" t="inlineStr">
        <is>
          <t>§113.2</t>
        </is>
      </c>
      <c r="E210" s="2"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2" t="inlineStr">
        <is>
          <t>A placement is admitted only where the running count remains within the configured per-response and per-session ceiling.</t>
        </is>
      </c>
      <c r="G210" s="2">
        <f>IF(AND(1=1,3&lt;=5),"Placement admitted within density ceiling","Refused - density ceiling exceeded")</f>
        <v/>
      </c>
    </row>
    <row r="211">
      <c r="A211" s="2" t="n">
        <v>210</v>
      </c>
      <c r="B211" s="2" t="inlineStr">
        <is>
          <t>Advertiser Provenance Record</t>
        </is>
      </c>
      <c r="C211" s="2" t="inlineStr">
        <is>
          <t>Commerce &amp; Entitlement Tokens</t>
        </is>
      </c>
      <c r="D211" s="2" t="inlineStr">
        <is>
          <t>§113.3</t>
        </is>
      </c>
      <c r="E211" s="2"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2" t="inlineStr">
        <is>
          <t>Selection score = weighted sum of relevance, source-priority and bid factors with weights summing to unity; recorded per presentation.</t>
        </is>
      </c>
      <c r="G211" s="2">
        <f>0.4*0.9+0.3*0.7+0.3*0.6</f>
        <v/>
      </c>
    </row>
    <row r="212">
      <c r="A212" s="2" t="n">
        <v>211</v>
      </c>
      <c r="B212" s="2" t="inlineStr">
        <is>
          <t>Territory Price Registration</t>
        </is>
      </c>
      <c r="C212" s="2" t="inlineStr">
        <is>
          <t>Commerce &amp; Entitlement Tokens</t>
        </is>
      </c>
      <c r="D212" s="2" t="inlineStr">
        <is>
          <t>§113.5</t>
        </is>
      </c>
      <c r="E212" s="2"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2" t="inlineStr">
        <is>
          <t>An offer is made only where a price is registered for the request's territory and currency.</t>
        </is>
      </c>
      <c r="G212" s="2">
        <f>IF(COUNTIF({"US","CA","UK"},"US")&gt;0,"Territory price applied","Refused - no price registered for territory")</f>
        <v/>
      </c>
    </row>
    <row r="213">
      <c r="A213" s="2" t="n">
        <v>212</v>
      </c>
      <c r="B213" s="2" t="inlineStr">
        <is>
          <t>Transaction Reconciliation</t>
        </is>
      </c>
      <c r="C213" s="2" t="inlineStr">
        <is>
          <t>Commerce &amp; Entitlement Tokens</t>
        </is>
      </c>
      <c r="D213" s="2" t="inlineStr">
        <is>
          <t>§113.5</t>
        </is>
      </c>
      <c r="E213" s="2"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2" t="inlineStr">
        <is>
          <t>A transaction is recorded only where the entitlement change reconciles exactly; an unreconcilable transaction is refused.</t>
        </is>
      </c>
      <c r="G213" s="2">
        <f>IF(0=0,"Ledger balanced; transaction recorded","Refused - transaction not reconcilable")</f>
        <v/>
      </c>
    </row>
    <row r="214">
      <c r="A214" s="2" t="n">
        <v>213</v>
      </c>
      <c r="B214" s="2" t="inlineStr">
        <is>
          <t>Commandable Equipment Registration</t>
        </is>
      </c>
      <c r="C214" s="2" t="inlineStr">
        <is>
          <t>World Model &amp; Perception</t>
        </is>
      </c>
      <c r="D214" s="2" t="inlineStr">
        <is>
          <t>§114.1</t>
        </is>
      </c>
      <c r="E214" s="2"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2" t="inlineStr">
        <is>
          <t>A command is emitted only to a registered unit of an in-scope class whose registration carries envelope, limits and volume.</t>
        </is>
      </c>
      <c r="G214" s="2">
        <f>IF(COUNTIF({"pan-tilt-head","capture-drone","inspection-arm"},"vehicle")&gt;0,"Refused - class outside authorized scope","Equipment class in scope")</f>
        <v/>
      </c>
    </row>
    <row r="215">
      <c r="A215" s="2" t="n">
        <v>214</v>
      </c>
      <c r="B215" s="2" t="inlineStr">
        <is>
          <t>Session Authorization for Actuation</t>
        </is>
      </c>
      <c r="C215" s="2" t="inlineStr">
        <is>
          <t>World Model &amp; Perception</t>
        </is>
      </c>
      <c r="D215" s="2" t="inlineStr">
        <is>
          <t>§114.3</t>
        </is>
      </c>
      <c r="E215" s="2"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2" t="inlineStr">
        <is>
          <t>Emission proceeds only while the session authorization is unexpired, unrevoked, and covers the unit, volume and task class.</t>
        </is>
      </c>
      <c r="G215" s="2">
        <f>IF(AND(1=1,120&lt;=300),"Session authorization valid","Refused - authorization expired")</f>
        <v/>
      </c>
    </row>
    <row r="216">
      <c r="A216" s="2" t="n">
        <v>215</v>
      </c>
      <c r="B216" s="2" t="inlineStr">
        <is>
          <t>Pre-Emission Constraint Veto</t>
        </is>
      </c>
      <c r="C216" s="2" t="inlineStr">
        <is>
          <t>World Model &amp; Perception</t>
        </is>
      </c>
      <c r="D216" s="2" t="inlineStr">
        <is>
          <t>§114.5</t>
        </is>
      </c>
      <c r="E216" s="2"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2" t="inlineStr">
        <is>
          <t>A command is emitted only where every constraint test passes; a single violation withholds emission outright.</t>
        </is>
      </c>
      <c r="G216" s="2">
        <f>IF(AND(1=1,0.42&lt;=0.6),"Command emitted","Vetoed - clearance below minimum")</f>
        <v/>
      </c>
    </row>
    <row r="217">
      <c r="A217" s="2" t="n">
        <v>216</v>
      </c>
      <c r="B217" s="2" t="inlineStr">
        <is>
          <t>Safety-Only Human Proximity Detection</t>
        </is>
      </c>
      <c r="C217" s="2" t="inlineStr">
        <is>
          <t>World Model &amp; Perception</t>
        </is>
      </c>
      <c r="D217" s="2" t="inlineStr">
        <is>
          <t>§114.5</t>
        </is>
      </c>
      <c r="E217" s="2"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2" t="inlineStr">
        <is>
          <t>Governing clearance is the lesser of measured distance to a detected person and the configured exclusion distance.</t>
        </is>
      </c>
      <c r="G217" s="2">
        <f>MIN(0.35,0.6)</f>
        <v/>
      </c>
    </row>
    <row r="218">
      <c r="A218" s="2" t="n">
        <v>217</v>
      </c>
      <c r="B218" s="2" t="inlineStr">
        <is>
          <t>Halt Path Independent of Reasoning</t>
        </is>
      </c>
      <c r="C218" s="2" t="inlineStr">
        <is>
          <t>World Model &amp; Perception</t>
        </is>
      </c>
      <c r="D218" s="2" t="inlineStr">
        <is>
          <t>§114.6</t>
        </is>
      </c>
      <c r="E218" s="2"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2" t="inlineStr">
        <is>
          <t>A halt triggers where measured clearance falls to or below the configured minimum, evaluated outside the reasoning path.</t>
        </is>
      </c>
      <c r="G218" s="2">
        <f>IF(0.42&lt;=0.6,"Halt - clearance breach","Continue")</f>
        <v/>
      </c>
    </row>
    <row r="219">
      <c r="A219" s="2" t="n">
        <v>218</v>
      </c>
      <c r="B219" s="2" t="inlineStr">
        <is>
          <t>Assistive Contact Registration and Hazard Analysis</t>
        </is>
      </c>
      <c r="C219" s="2" t="inlineStr">
        <is>
          <t>World Model &amp; Perception</t>
        </is>
      </c>
      <c r="D219" s="2" t="inlineStr">
        <is>
          <t>§115.1</t>
        </is>
      </c>
      <c r="E219" s="2"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2" t="inlineStr">
        <is>
          <t>Registration is refused absent a recorded hazard analysis; the two authorization classes confer nothing on one another.</t>
        </is>
      </c>
      <c r="G219" s="2">
        <f>IF(AND(1=1,1=1),"Contact authorized","Refused - both authorizations required")</f>
        <v/>
      </c>
    </row>
    <row r="220">
      <c r="A220" s="2" t="n">
        <v>219</v>
      </c>
      <c r="B220" s="2" t="inlineStr">
        <is>
          <t>Two-Party Contact Authorization</t>
        </is>
      </c>
      <c r="C220" s="2" t="inlineStr">
        <is>
          <t>World Model &amp; Perception</t>
        </is>
      </c>
      <c r="D220" s="2" t="inlineStr">
        <is>
          <t>§115.2</t>
        </is>
      </c>
      <c r="E220" s="2"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2" t="inlineStr">
        <is>
          <t>Contact proceeds only while both authorizations are held; a withdrawal by the assisted person governs absolutely.</t>
        </is>
      </c>
      <c r="G220" s="2">
        <f>IF(COUNTIF({"assisted-person","operator"},"assisted-person")&gt;0,"Halt - withdrawal by assisted person","Continue")</f>
        <v/>
      </c>
    </row>
    <row r="221">
      <c r="A221" s="2" t="n">
        <v>220</v>
      </c>
      <c r="B221" s="2" t="inlineStr">
        <is>
          <t>Contact Force and Pressure Limits</t>
        </is>
      </c>
      <c r="C221" s="2" t="inlineStr">
        <is>
          <t>World Model &amp; Perception</t>
        </is>
      </c>
      <c r="D221" s="2" t="inlineStr">
        <is>
          <t>§115.5</t>
        </is>
      </c>
      <c r="E221" s="2"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2" t="inlineStr">
        <is>
          <t>Measured force and pressure at each contact region must not exceed the limit registered for that region.</t>
        </is>
      </c>
      <c r="G221" s="2">
        <f>IF(28&lt;=65,"Within registered limit for contact region","Halt - force limit exceeded")</f>
        <v/>
      </c>
    </row>
    <row r="222">
      <c r="A222" s="2" t="n">
        <v>221</v>
      </c>
      <c r="B222" s="2" t="inlineStr">
        <is>
          <t>Release as Default Failure State</t>
        </is>
      </c>
      <c r="C222" s="2" t="inlineStr">
        <is>
          <t>World Model &amp; Perception</t>
        </is>
      </c>
      <c r="D222" s="2" t="inlineStr">
        <is>
          <t>§115.6</t>
        </is>
      </c>
      <c r="E222" s="2"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2" t="inlineStr">
        <is>
          <t>Any fault or halt yields release; retention is permitted only for a registered weight-bearing unit with redundant support.</t>
        </is>
      </c>
      <c r="G222" s="2">
        <f>IF(0=0,"Safe release executed","Fault - grip retained")</f>
        <v/>
      </c>
    </row>
    <row r="223">
      <c r="A223" s="2" t="n">
        <v>222</v>
      </c>
      <c r="B223" s="2" t="inlineStr">
        <is>
          <t>Support Redundancy for Weight-Bearing</t>
        </is>
      </c>
      <c r="C223" s="2" t="inlineStr">
        <is>
          <t>World Model &amp; Perception</t>
        </is>
      </c>
      <c r="D223" s="2" t="inlineStr">
        <is>
          <t>§115.5</t>
        </is>
      </c>
      <c r="E223" s="2"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2" t="inlineStr">
        <is>
          <t>A weight-bearing command requires at least two independent support means confirmed present.</t>
        </is>
      </c>
      <c r="G223" s="2">
        <f>IF(2&gt;=2,"Redundant support confirmed","Refused - single point of support")</f>
        <v/>
      </c>
    </row>
    <row r="224">
      <c r="A224" s="2" t="n">
        <v>223</v>
      </c>
      <c r="B224" s="2" t="inlineStr">
        <is>
          <t>Energy Descent and Termination</t>
        </is>
      </c>
      <c r="C224" s="2" t="inlineStr">
        <is>
          <t>Retrieval &amp; Response</t>
        </is>
      </c>
      <c r="D224" s="2" t="inlineStr">
        <is>
          <t>§116.1</t>
        </is>
      </c>
      <c r="E224" s="2"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2" t="inlineStr">
        <is>
          <t>E = -1/2 sum_{i&lt;j} w_ij s_i s_j; each accepted update strictly decreases E, so no configuration recurs.</t>
        </is>
      </c>
      <c r="G224" s="2">
        <f>-0.5*(2*1*1*1+2*-1*1*1+2*1*1*1+2*1*1*1+2*-1*1*1+2*1*1*1)</f>
        <v/>
      </c>
    </row>
    <row r="225">
      <c r="A225" s="2" t="n">
        <v>224</v>
      </c>
      <c r="B225" s="2" t="inlineStr">
        <is>
          <t>Bounded Frame Reconstruction</t>
        </is>
      </c>
      <c r="C225" s="2" t="inlineStr">
        <is>
          <t>World Model &amp; Perception</t>
        </is>
      </c>
      <c r="D225" s="2" t="inlineStr">
        <is>
          <t>§116.3</t>
        </is>
      </c>
      <c r="E225" s="2"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2" t="inlineStr">
        <is>
          <t>Reconstructed confidence = MIN(observed confidence, stored-configuration confidence).</t>
        </is>
      </c>
      <c r="G225" s="2">
        <f>MIN(0.94,0.88)</f>
        <v/>
      </c>
    </row>
    <row r="226">
      <c r="A226" s="2" t="n">
        <v>225</v>
      </c>
      <c r="B226" s="2" t="inlineStr">
        <is>
          <t>Reconstruction Marking</t>
        </is>
      </c>
      <c r="C226" s="2" t="inlineStr">
        <is>
          <t>World Model &amp; Perception</t>
        </is>
      </c>
      <c r="D226" s="2" t="inlineStr">
        <is>
          <t>§116.3</t>
        </is>
      </c>
      <c r="E226" s="2" t="inlineStr">
        <is>
          <t>Mark every reconstructed region as reconstructed so it is never presented as observed; a frame carrying an acknowledged hole is truthful, a frame whose hole has been filled with an inference presented as observation is not.</t>
        </is>
      </c>
      <c r="F226" s="2" t="inlineStr">
        <is>
          <t>A region is presented as observed only where it was observed; a converged region carries the reconstructed marking.</t>
        </is>
      </c>
      <c r="G226" s="2">
        <f>IF(COUNTIF({"observed","reconstructed"},"reconstructed")&gt;0,"Marked reconstructed; not presented as observed","Observed region")</f>
        <v/>
      </c>
    </row>
    <row r="227">
      <c r="A227" s="2" t="n">
        <v>226</v>
      </c>
      <c r="B227" s="2" t="inlineStr">
        <is>
          <t>Difference-Preserving Alignment</t>
        </is>
      </c>
      <c r="C227" s="2" t="inlineStr">
        <is>
          <t>Ontology &amp; Conceptual Structure</t>
        </is>
      </c>
      <c r="D227" s="2" t="inlineStr">
        <is>
          <t>§116.4</t>
        </is>
      </c>
      <c r="E227" s="2"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2" t="inlineStr">
        <is>
          <t>Converge where divergence &lt; threshold; preserve where divergence &gt;= threshold or is unclassifiable.</t>
        </is>
      </c>
      <c r="G227" s="2">
        <f>IF(0.31&gt;=0.15,"Genuine edition difference - preserved","Extraction variance - converged")</f>
        <v/>
      </c>
    </row>
    <row r="228">
      <c r="A228" s="2" t="n">
        <v>227</v>
      </c>
      <c r="B228" s="2" t="inlineStr">
        <is>
          <t>Control Oscillation Fault</t>
        </is>
      </c>
      <c r="C228" s="2" t="inlineStr">
        <is>
          <t>World Model &amp; Perception</t>
        </is>
      </c>
      <c r="D228" s="2" t="inlineStr">
        <is>
          <t>§116.5</t>
        </is>
      </c>
      <c r="E228" s="2"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2" t="inlineStr">
        <is>
          <t>Sign changes of the control error across the window &gt;= configured frequency raises a fault and halts.</t>
        </is>
      </c>
      <c r="G228" s="2">
        <f>IF(5&gt;=4,"Oscillation - raise control fault","Control stable")</f>
        <v/>
      </c>
    </row>
    <row r="229">
      <c r="A229" s="2" t="n">
        <v>228</v>
      </c>
      <c r="B229" s="2" t="inlineStr">
        <is>
          <t>One-Hop Concept Adjacency Set</t>
        </is>
      </c>
      <c r="C229" s="2" t="inlineStr">
        <is>
          <t>Commerce &amp; Entitlement Tokens</t>
        </is>
      </c>
      <c r="D229" s="2" t="inlineStr">
        <is>
          <t>§113.8.1</t>
        </is>
      </c>
      <c r="E229" s="2"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2" t="inlineStr">
        <is>
          <t>An adjacent concept is admitted only where its connecting edge type is registered as adjacency-bearing and lies within one hop.</t>
        </is>
      </c>
      <c r="G229" s="2">
        <f>IF(COUNTIF({"IS-A","PART-OF","RELATED-TO"},"CAUSES")&gt;0,"Edge type permitted for adjacency","Refused - edge type not in adjacency set")</f>
        <v/>
      </c>
    </row>
    <row r="230">
      <c r="A230" s="2" t="n">
        <v>229</v>
      </c>
      <c r="B230" s="2" t="inlineStr">
        <is>
          <t>Adjacency Scope Confinement</t>
        </is>
      </c>
      <c r="C230" s="2" t="inlineStr">
        <is>
          <t>Commerce &amp; Entitlement Tokens</t>
        </is>
      </c>
      <c r="D230" s="2" t="inlineStr">
        <is>
          <t>§113.8.1</t>
        </is>
      </c>
      <c r="E230" s="2"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2" t="inlineStr">
        <is>
          <t>An adjacent concept enters the set only where the requester's scope description admits it.</t>
        </is>
      </c>
      <c r="G230" s="2">
        <f>IF(COUNTIF({"in-scope","out-of-scope"},"out-of-scope")&gt;0,"Refused - adjacent concept outside requester scope","Adjacent concept admitted")</f>
        <v/>
      </c>
    </row>
    <row r="231">
      <c r="A231" s="2" t="n">
        <v>230</v>
      </c>
      <c r="B231" s="2" t="inlineStr">
        <is>
          <t>Attenuated Adjacency Relevance</t>
        </is>
      </c>
      <c r="C231" s="2" t="inlineStr">
        <is>
          <t>Commerce &amp; Entitlement Tokens</t>
        </is>
      </c>
      <c r="D231" s="2" t="inlineStr">
        <is>
          <t>§113.8.2</t>
        </is>
      </c>
      <c r="E231" s="2"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2" t="inlineStr">
        <is>
          <t>Score = 0.4*relevance + 0.3*source-priority + 0.3*bid, with adjacency-derived relevance attenuated below direct relevance.</t>
        </is>
      </c>
      <c r="G231" s="2">
        <f>0.4*0.72+0.3*0.7+0.3*0.6</f>
        <v/>
      </c>
    </row>
    <row r="232">
      <c r="A232" s="2" t="n">
        <v>231</v>
      </c>
      <c r="B232" s="2" t="inlineStr">
        <is>
          <t>Convergence Regime Disclosure</t>
        </is>
      </c>
      <c r="C232" s="2" t="inlineStr">
        <is>
          <t>Retrieval &amp; Response</t>
        </is>
      </c>
      <c r="D232" s="2" t="inlineStr">
        <is>
          <t>§116.2.1</t>
        </is>
      </c>
      <c r="E232" s="2"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2" t="inlineStr">
        <is>
          <t>Exactly one regime is in effect per network; the output discloses which, and the election cannot be altered from within the system.</t>
        </is>
      </c>
      <c r="G232" s="2">
        <f>IF(COUNTIF({"unique-equilibrium","capacity-bounded"},"unique-equilibrium")&gt;0,"Disclose: unique equilibrium guaranteed","Disclose: capacity-bounded convergence")</f>
        <v/>
      </c>
    </row>
    <row r="233">
      <c r="A233" s="2" t="n">
        <v>232</v>
      </c>
      <c r="B233" s="2" t="inlineStr">
        <is>
          <t>Trial Budget and Scheduling</t>
        </is>
      </c>
      <c r="C233" s="2" t="inlineStr">
        <is>
          <t>Platform Governance &amp; Evolution</t>
        </is>
      </c>
      <c r="D233" s="2" t="inlineStr">
        <is>
          <t>§117.1</t>
        </is>
      </c>
      <c r="E233" s="2"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2" t="inlineStr">
        <is>
          <t>A trial executes only where the trial-category budget for the interval is not exceeded; otherwise it defers.</t>
        </is>
      </c>
      <c r="G233" s="2">
        <f>IF(AND(2400&lt;=5000,1=1),"Test budget within allocation","Deferred - would contend with production slices")</f>
        <v/>
      </c>
    </row>
    <row r="234">
      <c r="A234" s="2" t="n">
        <v>233</v>
      </c>
      <c r="B234" s="2" t="inlineStr">
        <is>
          <t>Trial Isolation and Non-Application</t>
        </is>
      </c>
      <c r="C234" s="2" t="inlineStr">
        <is>
          <t>Platform Governance &amp; Evolution</t>
        </is>
      </c>
      <c r="D234" s="2" t="inlineStr">
        <is>
          <t>§117.2</t>
        </is>
      </c>
      <c r="E234" s="2"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2" t="inlineStr">
        <is>
          <t>A change is applied only where no previously-passing trial case regresses; a regression withholds the change.</t>
        </is>
      </c>
      <c r="G234" s="2">
        <f>IF(COUNTIF({"passed","regressed"},"regressed")&gt;0,"Refused - previously-passing case now fails","Regression clear")</f>
        <v/>
      </c>
    </row>
    <row r="235">
      <c r="A235" s="2" t="n">
        <v>234</v>
      </c>
      <c r="B235" s="2" t="inlineStr">
        <is>
          <t>Trial Space Coverage</t>
        </is>
      </c>
      <c r="C235" s="2" t="inlineStr">
        <is>
          <t>Platform Governance &amp; Evolution</t>
        </is>
      </c>
      <c r="D235" s="2" t="inlineStr">
        <is>
          <t>§117.5</t>
        </is>
      </c>
      <c r="E235" s="2"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2" t="inlineStr">
        <is>
          <t>Coverage = executed cases / enumerated trial space, with uncovered cases listed individually.</t>
        </is>
      </c>
      <c r="G235" s="2">
        <f>847/920</f>
        <v/>
      </c>
    </row>
    <row r="236">
      <c r="A236" s="2" t="n">
        <v>235</v>
      </c>
      <c r="B236" s="2" t="inlineStr">
        <is>
          <t>Determinism Verification</t>
        </is>
      </c>
      <c r="C236" s="2" t="inlineStr">
        <is>
          <t>Platform Governance &amp; Evolution</t>
        </is>
      </c>
      <c r="D236" s="2" t="inlineStr">
        <is>
          <t>§117.5</t>
        </is>
      </c>
      <c r="E236" s="2"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2" t="inlineStr">
        <is>
          <t>Determinism = identical-fingerprint repeats / total repeats over an unchanged corpus state; the only passing value is 1.0.</t>
        </is>
      </c>
      <c r="G236" s="2">
        <f>IF(1000/1000&gt;=0.999,"Determinism verified across trial set","Defect - determinism not reproduced")</f>
        <v/>
      </c>
    </row>
    <row r="237">
      <c r="A237" s="2" t="n">
        <v>236</v>
      </c>
      <c r="B237" s="2" t="inlineStr">
        <is>
          <t>Simulation Is Not Clearance</t>
        </is>
      </c>
      <c r="C237" s="2" t="inlineStr">
        <is>
          <t>Platform Governance &amp; Evolution</t>
        </is>
      </c>
      <c r="D237" s="2" t="inlineStr">
        <is>
          <t>§117.6</t>
        </is>
      </c>
      <c r="E237" s="2"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2" t="inlineStr">
        <is>
          <t>Operation is cleared only by unit certification; a simulation pass, at any scale, does not substitute.</t>
        </is>
      </c>
      <c r="G237" s="2">
        <f>IF(COUNTIF({"simulation-pass","unit-certification"},"unit-certification")&gt;0,"Cleared for operation","Refused - simulation is not clearance")</f>
        <v/>
      </c>
    </row>
    <row r="238">
      <c r="A238" s="2" t="n">
        <v>237</v>
      </c>
      <c r="B238" s="2" t="inlineStr">
        <is>
          <t>Graspable Object Registration</t>
        </is>
      </c>
      <c r="C238" s="2" t="inlineStr">
        <is>
          <t>World Model &amp; Perception</t>
        </is>
      </c>
      <c r="D238" s="2" t="inlineStr">
        <is>
          <t>§120.1</t>
        </is>
      </c>
      <c r="E238" s="2"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2" t="inlineStr">
        <is>
          <t>Applied force = MIN(unit ceiling, fragility limit, required force x (1 + margin)).</t>
        </is>
      </c>
      <c r="G238" s="2">
        <f>MIN(18,15,12.4*1.15)</f>
        <v/>
      </c>
    </row>
    <row r="239">
      <c r="A239" s="2" t="n">
        <v>238</v>
      </c>
      <c r="B239" s="2" t="inlineStr">
        <is>
          <t>Slip Response and Controlled Release</t>
        </is>
      </c>
      <c r="C239" s="2" t="inlineStr">
        <is>
          <t>World Model &amp; Perception</t>
        </is>
      </c>
      <c r="D239" s="2" t="inlineStr">
        <is>
          <t>§120.2</t>
        </is>
      </c>
      <c r="E239" s="2"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2" t="inlineStr">
        <is>
          <t>On slip, force rises to MIN(ceiling, fragility); continued slip at that bound triggers controlled release.</t>
        </is>
      </c>
      <c r="G239" s="2">
        <f>IF(COUNTIF({"within-limit","at-limit"},"at-limit")&gt;0,"Release under control","Increase force toward limit")</f>
        <v/>
      </c>
    </row>
    <row r="240">
      <c r="A240" s="2" t="n">
        <v>239</v>
      </c>
      <c r="B240" s="2" t="inlineStr">
        <is>
          <t>Gripper Opens on Fault</t>
        </is>
      </c>
      <c r="C240" s="2" t="inlineStr">
        <is>
          <t>World Model &amp; Perception</t>
        </is>
      </c>
      <c r="D240" s="2" t="inlineStr">
        <is>
          <t>§120.3</t>
        </is>
      </c>
      <c r="E240" s="2"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2" t="inlineStr">
        <is>
          <t>Any fault or halt opens the gripper; retention is permitted only where the release path is obstructed and no clear pose exists.</t>
        </is>
      </c>
      <c r="G240" s="2">
        <f>IF(0=0,"Gripper opens; object released","Fault - object retained")</f>
        <v/>
      </c>
    </row>
    <row r="241">
      <c r="A241" s="2" t="n">
        <v>240</v>
      </c>
      <c r="B241" s="2" t="inlineStr">
        <is>
          <t>Handover Release Condition</t>
        </is>
      </c>
      <c r="C241" s="2" t="inlineStr">
        <is>
          <t>World Model &amp; Perception</t>
        </is>
      </c>
      <c r="D241" s="2" t="inlineStr">
        <is>
          <t>§120.4</t>
        </is>
      </c>
      <c r="E241" s="2"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2" t="inlineStr">
        <is>
          <t>Release occurs only on sustained detected support; absent it, controlled lowering rather than release.</t>
        </is>
      </c>
      <c r="G241" s="2">
        <f>IF(COUNTIF({"stable-support","no-support"},"stable-support")&gt;0,"Release to recipient","Retain - controlled lowering on timeout")</f>
        <v/>
      </c>
    </row>
    <row r="242">
      <c r="A242" s="2" t="n">
        <v>241</v>
      </c>
      <c r="B242" s="2" t="inlineStr">
        <is>
          <t>Navigable Region Registration</t>
        </is>
      </c>
      <c r="C242" s="2" t="inlineStr">
        <is>
          <t>World Model &amp; Perception</t>
        </is>
      </c>
      <c r="D242" s="2" t="inlineStr">
        <is>
          <t>§121.1</t>
        </is>
      </c>
      <c r="E242" s="2"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2" t="inlineStr">
        <is>
          <t>Motion proceeds only within the registered navigable region and only on a clearance model within its staleness bound.</t>
        </is>
      </c>
      <c r="G242" s="2">
        <f>IF(COUNTIF({"corridor-A","atrium","loading-bay"},"restricted-ward")&gt;0,"Region admitted","Refused - outside registered navigable region")</f>
        <v/>
      </c>
    </row>
    <row r="243">
      <c r="A243" s="2" t="n">
        <v>242</v>
      </c>
      <c r="B243" s="2" t="inlineStr">
        <is>
          <t>Clearance-Bounded Speed</t>
        </is>
      </c>
      <c r="C243" s="2" t="inlineStr">
        <is>
          <t>World Model &amp; Perception</t>
        </is>
      </c>
      <c r="D243" s="2" t="inlineStr">
        <is>
          <t>§121.2</t>
        </is>
      </c>
      <c r="E243" s="2"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2" t="inlineStr">
        <is>
          <t>Permitted speed = MIN(registered maximum, coefficient x clearance).</t>
        </is>
      </c>
      <c r="G243" s="2">
        <f>MIN(1.5,0.6*0.6)</f>
        <v/>
      </c>
    </row>
    <row r="244">
      <c r="A244" s="2" t="n">
        <v>243</v>
      </c>
      <c r="B244" s="2" t="inlineStr">
        <is>
          <t>Unconditional Yield</t>
        </is>
      </c>
      <c r="C244" s="2" t="inlineStr">
        <is>
          <t>World Model &amp; Perception</t>
        </is>
      </c>
      <c r="D244" s="2" t="inlineStr">
        <is>
          <t>§121.3</t>
        </is>
      </c>
      <c r="E244" s="2"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2" t="inlineStr">
        <is>
          <t>Where a person's path conflicts with the unit's, the unit yields without exception.</t>
        </is>
      </c>
      <c r="G244" s="2">
        <f>IF(COUNTIF({"machine","person"},"person")&gt;0,"Yield - person has right of way","Proceed")</f>
        <v/>
      </c>
    </row>
    <row r="245">
      <c r="A245" s="2" t="n">
        <v>244</v>
      </c>
      <c r="B245" s="2" t="inlineStr">
        <is>
          <t>Motion-Only Clearance Envelope</t>
        </is>
      </c>
      <c r="C245" s="2" t="inlineStr">
        <is>
          <t>World Model &amp; Perception</t>
        </is>
      </c>
      <c r="D245" s="2" t="inlineStr">
        <is>
          <t>§121.4</t>
        </is>
      </c>
      <c r="E245" s="2"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2" t="inlineStr">
        <is>
          <t>The envelope derives from observed motion alone; identity may not inform it.</t>
        </is>
      </c>
      <c r="G245" s="2">
        <f>IF(COUNTIF({"observed-motion","identity"},"identity")&gt;0,"Refused - identity may not inform the envelope","Envelope computed from motion alone")</f>
        <v/>
      </c>
    </row>
    <row r="246">
      <c r="A246" s="2" t="n">
        <v>245</v>
      </c>
      <c r="B246" s="2" t="inlineStr">
        <is>
          <t>Stop Rather Than Relax</t>
        </is>
      </c>
      <c r="C246" s="2" t="inlineStr">
        <is>
          <t>World Model &amp; Perception</t>
        </is>
      </c>
      <c r="D246" s="2" t="inlineStr">
        <is>
          <t>§121.5</t>
        </is>
      </c>
      <c r="E246" s="2"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2" t="inlineStr">
        <is>
          <t>A path is admitted only where its clearance meets the configured minimum; otherwise the unit stops.</t>
        </is>
      </c>
      <c r="G246" s="2">
        <f>IF(0.28&gt;=0.35,"Path admitted","Stop - no path satisfies the clearance minimum")</f>
        <v/>
      </c>
    </row>
    <row r="247">
      <c r="A247" s="2" t="n">
        <v>246</v>
      </c>
      <c r="B247" s="2" t="inlineStr">
        <is>
          <t>Predictive Level Registration</t>
        </is>
      </c>
      <c r="C247" s="2" t="inlineStr">
        <is>
          <t>Inference, Prediction &amp; Calibration</t>
        </is>
      </c>
      <c r="D247" s="2" t="inlineStr">
        <is>
          <t>§122.1</t>
        </is>
      </c>
      <c r="E247" s="2"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2" t="inlineStr">
        <is>
          <t>An expectation is evaluated only at a registered level of the hierarchy.</t>
        </is>
      </c>
      <c r="G247" s="2">
        <f>IF(COUNTIF({"lexical","sequential","conceptual","invariant"},"conceptual")&gt;0,"Level registered","Refused - unregistered expectation level")</f>
        <v/>
      </c>
    </row>
    <row r="248">
      <c r="A248" s="2" t="n">
        <v>247</v>
      </c>
      <c r="B248" s="2" t="inlineStr">
        <is>
          <t>Lowest-Level Error Attribution</t>
        </is>
      </c>
      <c r="C248" s="2" t="inlineStr">
        <is>
          <t>Inference, Prediction &amp; Calibration</t>
        </is>
      </c>
      <c r="D248" s="2" t="inlineStr">
        <is>
          <t>§122.2</t>
        </is>
      </c>
      <c r="E248" s="2"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2" t="inlineStr">
        <is>
          <t>Level share = level residual / total residual; attribution goes to the lowest level clearing the configured share.</t>
        </is>
      </c>
      <c r="G248" s="2">
        <f>0.42/(0.42+0.31+0.08+0.05)</f>
        <v/>
      </c>
    </row>
    <row r="249">
      <c r="A249" s="2" t="n">
        <v>248</v>
      </c>
      <c r="B249" s="2" t="inlineStr">
        <is>
          <t>Escalation Gate</t>
        </is>
      </c>
      <c r="C249" s="2" t="inlineStr">
        <is>
          <t>Inference, Prediction &amp; Calibration</t>
        </is>
      </c>
      <c r="D249" s="2" t="inlineStr">
        <is>
          <t>§122.3</t>
        </is>
      </c>
      <c r="E249" s="2"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2" t="inlineStr">
        <is>
          <t>A level is attributed only where each lower level's residual falls below the configured share.</t>
        </is>
      </c>
      <c r="G249" s="2">
        <f>IF(0.4884&gt;=0.4,"Attribute to lowest accounting level","Escalate to next level")</f>
        <v/>
      </c>
    </row>
    <row r="250">
      <c r="A250" s="2" t="n">
        <v>249</v>
      </c>
      <c r="B250" s="2" t="inlineStr">
        <is>
          <t>Unattributed Error Retention</t>
        </is>
      </c>
      <c r="C250" s="2" t="inlineStr">
        <is>
          <t>Inference, Prediction &amp; Calibration</t>
        </is>
      </c>
      <c r="D250" s="2" t="inlineStr">
        <is>
          <t>§122.3</t>
        </is>
      </c>
      <c r="E250" s="2"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2" t="inlineStr">
        <is>
          <t>An unattributed error is recorded and applied nowhere; physical constraints are never revised by observation.</t>
        </is>
      </c>
      <c r="G250" s="2">
        <f>IF(COUNTIF({"attributed","unattributed"},"unattributed")&gt;0,"Recorded in contradiction index; no revision applied","Revision applied at attributed level")</f>
        <v/>
      </c>
    </row>
    <row r="251">
      <c r="A251" s="2" t="n">
        <v>250</v>
      </c>
      <c r="B251" s="2" t="inlineStr">
        <is>
          <t>Edge-Class Traversal Cost</t>
        </is>
      </c>
      <c r="C251" s="2" t="inlineStr">
        <is>
          <t>Retrieval &amp; Response</t>
        </is>
      </c>
      <c r="D251" s="2" t="inlineStr">
        <is>
          <t>§123.1</t>
        </is>
      </c>
      <c r="E251" s="2"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2" t="inlineStr">
        <is>
          <t>Budget consumed = sum over classes of (hops x cost); traversal halts when the registered budget is exhausted.</t>
        </is>
      </c>
      <c r="G251" s="2">
        <f>IF(12*1+2*3+0*8&lt;=24,"Within propagation budget","Refused - budget exceeded")</f>
        <v/>
      </c>
    </row>
    <row r="252">
      <c r="A252" s="2" t="n">
        <v>251</v>
      </c>
      <c r="B252" s="2" t="inlineStr">
        <is>
          <t>Propagation Reach by Class</t>
        </is>
      </c>
      <c r="C252" s="2" t="inlineStr">
        <is>
          <t>Retrieval &amp; Response</t>
        </is>
      </c>
      <c r="D252" s="2" t="inlineStr">
        <is>
          <t>§123.1</t>
        </is>
      </c>
      <c r="E252" s="2"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2" t="inlineStr">
        <is>
          <t>Reach of a class = budget / cost per hop for that class.</t>
        </is>
      </c>
      <c r="G252" s="2">
        <f>MIN(24/1,24/3,24/8)</f>
        <v/>
      </c>
    </row>
    <row r="253">
      <c r="A253" s="2" t="n">
        <v>252</v>
      </c>
      <c r="B253" s="2" t="inlineStr">
        <is>
          <t>Tri-Temporal Posture</t>
        </is>
      </c>
      <c r="C253" s="2" t="inlineStr">
        <is>
          <t>Inference, Prediction &amp; Calibration</t>
        </is>
      </c>
      <c r="D253" s="2" t="inlineStr">
        <is>
          <t>§123.2</t>
        </is>
      </c>
      <c r="E253" s="2"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2" t="inlineStr">
        <is>
          <t>A result is admissible as grounding only where its posture is attested-past or live-present; projected-future is labelled and withheld.</t>
        </is>
      </c>
      <c r="G253" s="2">
        <f>IF(COUNTIF({"past","present","future"},"future")&gt;0,"Forecast - labelled, not admitted as record","Attested state - admissible")</f>
        <v/>
      </c>
    </row>
    <row r="254">
      <c r="A254" s="2" t="n">
        <v>253</v>
      </c>
      <c r="B254" s="2" t="inlineStr">
        <is>
          <t>Six-Dimensional Coherence</t>
        </is>
      </c>
      <c r="C254" s="2" t="inlineStr">
        <is>
          <t>Inference, Prediction &amp; Calibration</t>
        </is>
      </c>
      <c r="D254" s="2" t="inlineStr">
        <is>
          <t>§124.1</t>
        </is>
      </c>
      <c r="E254" s="2"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2" t="inlineStr">
        <is>
          <t>coherence = MIN over the six dimensional values; the governing dimension is named with the result.</t>
        </is>
      </c>
      <c r="G254" s="2">
        <f>MIN(0.94,0.88,0.91,0.62,0.90,0.86)</f>
        <v/>
      </c>
    </row>
    <row r="255">
      <c r="A255" s="2" t="n">
        <v>254</v>
      </c>
      <c r="B255" s="2" t="inlineStr">
        <is>
          <t>Coherence Classification</t>
        </is>
      </c>
      <c r="C255" s="2" t="inlineStr">
        <is>
          <t>Inference, Prediction &amp; Calibration</t>
        </is>
      </c>
      <c r="D255" s="2" t="inlineStr">
        <is>
          <t>§124.1</t>
        </is>
      </c>
      <c r="E255" s="2"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2" t="inlineStr">
        <is>
          <t>Stable at or above the upper floor; drifting between floors; misaligned below the lower floor.</t>
        </is>
      </c>
      <c r="G255" s="2">
        <f>IF(MIN(0.94,0.88,0.91,0.62,0.90,0.86)&gt;=0.85,"Stable",IF(MIN(0.94,0.88,0.91,0.62,0.90,0.86)&gt;=0.70,"Drifting - reported","Misaligned - reported with dimension named"))</f>
        <v/>
      </c>
    </row>
    <row r="256">
      <c r="A256" s="2" t="n">
        <v>255</v>
      </c>
      <c r="B256" s="2" t="inlineStr">
        <is>
          <t>Context Lock and Key</t>
        </is>
      </c>
      <c r="C256" s="2" t="inlineStr">
        <is>
          <t>Prime Directive</t>
        </is>
      </c>
      <c r="D256" s="2" t="inlineStr">
        <is>
          <t>§124.2</t>
        </is>
      </c>
      <c r="E256" s="2"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2" t="inlineStr">
        <is>
          <t>Determinism is asserted between two executions only where the context key computed over the locked dimensions is identical.</t>
        </is>
      </c>
      <c r="G256" s="2">
        <f>IF(COUNTIF({"device","entitlement","locale","register","audience","posture","costs","regime"},"session-time")&gt;0,"Locked dimension - determinism claimed","Unlocked - determinism not claimed across this difference")</f>
        <v/>
      </c>
    </row>
    <row r="257">
      <c r="A257" s="2" t="n">
        <v>256</v>
      </c>
      <c r="B257" s="2" t="inlineStr">
        <is>
          <t>Relevance Gradient</t>
        </is>
      </c>
      <c r="C257" s="2" t="inlineStr">
        <is>
          <t>Retrieval &amp; Response</t>
        </is>
      </c>
      <c r="D257" s="2" t="inlineStr">
        <is>
          <t>§124.3</t>
        </is>
      </c>
      <c r="E257" s="2"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2" t="inlineStr">
        <is>
          <t>gradient = |relevance(a) - relevance(b)| across neighbours in an edge class; lower gradient is traversed first.</t>
        </is>
      </c>
      <c r="G257" s="2">
        <f>ABS(0.91-0.62)</f>
        <v/>
      </c>
    </row>
    <row r="258">
      <c r="A258" s="2" t="n">
        <v>257</v>
      </c>
      <c r="B258" s="2" t="inlineStr">
        <is>
          <t>Substrate Output as a Modality</t>
        </is>
      </c>
      <c r="C258" s="2" t="inlineStr">
        <is>
          <t>Ingestion &amp; Sensory Intake</t>
        </is>
      </c>
      <c r="D258" s="2" t="inlineStr">
        <is>
          <t>§4.10.1</t>
        </is>
      </c>
      <c r="E258" s="2"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2" t="inlineStr">
        <is>
          <t>A substrate output is ingested only where its modality and extractor are registered.</t>
        </is>
      </c>
      <c r="G258" s="2">
        <f>IF(COUNTIF({"text","image","audio","video","sensor","spike-train"},"spike-train")&gt;0,"Registered modality; extractor dispatched","Refused - unregistered modality")</f>
        <v/>
      </c>
    </row>
    <row r="259">
      <c r="A259" s="2" t="n">
        <v>258</v>
      </c>
      <c r="B259" s="2" t="inlineStr">
        <is>
          <t>Registered Substrate Interpretation</t>
        </is>
      </c>
      <c r="C259" s="2" t="inlineStr">
        <is>
          <t>Ingestion &amp; Sensory Intake</t>
        </is>
      </c>
      <c r="D259" s="2" t="inlineStr">
        <is>
          <t>§4.10.2</t>
        </is>
      </c>
      <c r="E259" s="2"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2" t="inlineStr">
        <is>
          <t>Derived confidence = MIN(substrate reliability, interpretation reliability) — no better than the weaker of instrument and reading.</t>
        </is>
      </c>
      <c r="G259" s="2">
        <f>MIN(0.71,0.55)</f>
        <v/>
      </c>
    </row>
    <row r="260">
      <c r="A260" s="2" t="n">
        <v>259</v>
      </c>
      <c r="B260" s="2" t="inlineStr">
        <is>
          <t>Substrate Stimulation Dispatch</t>
        </is>
      </c>
      <c r="C260" s="2" t="inlineStr">
        <is>
          <t>Ingestion &amp; Sensory Intake</t>
        </is>
      </c>
      <c r="D260" s="2" t="inlineStr">
        <is>
          <t>§4.10.3</t>
        </is>
      </c>
      <c r="E260" s="2"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2" t="inlineStr">
        <is>
          <t>A substrate output is admitted as calibrated evidence only where it clears the configured confidence floor.</t>
        </is>
      </c>
      <c r="G260" s="2">
        <f>IF(0.71&gt;=0.6,"Substrate output admitted as calibrated evidence","Below floor - recorded, not admitted")</f>
        <v/>
      </c>
    </row>
    <row r="261">
      <c r="A261" s="2" t="n">
        <v>260</v>
      </c>
      <c r="B261" s="2" t="inlineStr">
        <is>
          <t>Analog Convergence Realization</t>
        </is>
      </c>
      <c r="C261" s="2" t="inlineStr">
        <is>
          <t>Retrieval &amp; Response</t>
        </is>
      </c>
      <c r="D261" s="2" t="inlineStr">
        <is>
          <t>§7.7.1</t>
        </is>
      </c>
      <c r="E261" s="2"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2" t="inlineStr">
        <is>
          <t>Digital multiply-accumulates per update = N^2; one analog settling performs the same summation as a single physical operation.</t>
        </is>
      </c>
      <c r="G261" s="2">
        <f>8192*8192</f>
        <v/>
      </c>
    </row>
    <row r="262">
      <c r="A262" s="2" t="n">
        <v>261</v>
      </c>
      <c r="B262" s="2" t="inlineStr">
        <is>
          <t>Unique-Equilibrium Precondition</t>
        </is>
      </c>
      <c r="C262" s="2" t="inlineStr">
        <is>
          <t>Retrieval &amp; Response</t>
        </is>
      </c>
      <c r="D262" s="2" t="inlineStr">
        <is>
          <t>§7.7.2</t>
        </is>
      </c>
      <c r="E262" s="2"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2" t="inlineStr">
        <is>
          <t>Analog operation is permitted only where the network's registered convergence regime is unique-equilibrium.</t>
        </is>
      </c>
      <c r="G262" s="2">
        <f>IF(COUNTIF({"unique-equilibrium"},"capacity-bounded")&gt;0,"Analog realization permitted","Refused - analog realization requires the unique-equilibrium regime")</f>
        <v/>
      </c>
    </row>
    <row r="263">
      <c r="A263" s="2" t="n">
        <v>262</v>
      </c>
      <c r="B263" s="2" t="inlineStr">
        <is>
          <t>Cross-Array Agreement</t>
        </is>
      </c>
      <c r="C263" s="2" t="inlineStr">
        <is>
          <t>Retrieval &amp; Response</t>
        </is>
      </c>
      <c r="D263" s="2" t="inlineStr">
        <is>
          <t>§7.7.3</t>
        </is>
      </c>
      <c r="E263" s="2"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2" t="inlineStr">
        <is>
          <t>Two arrays agree where |state_A - state_B| &lt;= registered read tolerance; beyond it a fault is raised.</t>
        </is>
      </c>
      <c r="G263" s="2">
        <f>IF(ABS(0.42-0.415)&lt;=0.05,"Chips agree within tolerance","Divergence - device variation exceeds tolerance")</f>
        <v/>
      </c>
    </row>
    <row r="264">
      <c r="A264" s="2" t="n">
        <v>263</v>
      </c>
      <c r="B264" s="2" t="inlineStr">
        <is>
          <t>Cross-Array Agreement Under Variation</t>
        </is>
      </c>
      <c r="C264" s="2" t="inlineStr">
        <is>
          <t>Retrieval &amp; Response</t>
        </is>
      </c>
      <c r="D264" s="2" t="inlineStr">
        <is>
          <t>§116.2</t>
        </is>
      </c>
      <c r="E264" s="2"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2" t="inlineStr">
        <is>
          <t>Disagreement rate between two varied weight matrices is materially lower under a spectral contraction than under the capacity bound.</t>
        </is>
      </c>
      <c r="G264" s="2">
        <f>1-0.005/0.305</f>
        <v/>
      </c>
    </row>
    <row r="265">
      <c r="A265" s="2" t="n">
        <v>264</v>
      </c>
      <c r="B265" s="2" t="inlineStr">
        <is>
          <t>Engine-Specific Prompt Composition</t>
        </is>
      </c>
      <c r="C265" s="2" t="inlineStr">
        <is>
          <t>Ingestion &amp; Sensory Intake</t>
        </is>
      </c>
      <c r="D265" s="2" t="inlineStr">
        <is>
          <t>§126.2Operator</t>
        </is>
      </c>
      <c r="E265" s="2"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2" t="inlineStr">
        <is>
          <t>Confidence of a converted record = MIN(engine reliability, extraction-instruction reliability).</t>
        </is>
      </c>
      <c r="G265" s="2">
        <f>MIN(0.88,0.62)</f>
        <v/>
      </c>
    </row>
    <row r="266">
      <c r="A266" s="2" t="n">
        <v>265</v>
      </c>
      <c r="B266" s="2" t="inlineStr">
        <is>
          <t>Reply Conversion to Knowledge Records</t>
        </is>
      </c>
      <c r="C266" s="2" t="inlineStr">
        <is>
          <t>Ingestion &amp; Sensory Intake</t>
        </is>
      </c>
      <c r="D266" s="2" t="inlineStr">
        <is>
          <t>§126.3Operator</t>
        </is>
      </c>
      <c r="E266" s="2"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2" t="inlineStr">
        <is>
          <t>An assertion is converted only where it validates against the machine definition of its type; otherwise it is refused at construction.</t>
        </is>
      </c>
      <c r="G266" s="2">
        <f>IF(COUNTIF({"human-authored","ai-derived"},"ai-derived")&gt;0,"Citation discloses model origin","Ordinary citation")</f>
        <v/>
      </c>
    </row>
    <row r="267">
      <c r="A267" s="2" t="n">
        <v>266</v>
      </c>
      <c r="B267" s="2" t="inlineStr">
        <is>
          <t>Derivation Marking and Disclosure</t>
        </is>
      </c>
      <c r="C267" s="2" t="inlineStr">
        <is>
          <t>Ingestion &amp; Sensory Intake</t>
        </is>
      </c>
      <c r="D267" s="2" t="inlineStr">
        <is>
          <t>§126.5Operator</t>
        </is>
      </c>
      <c r="E267" s="2"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2" t="inlineStr">
        <is>
          <t>A record cannot be re-typed to shed its derivation marking; every citation to it discloses the marking.</t>
        </is>
      </c>
      <c r="G267" s="2">
        <f>IF(COUNTIF({"human-authored","ai-derived"},"ai-derived")&gt;0,"Citation discloses model origin","Ordinary citation")</f>
        <v/>
      </c>
    </row>
    <row r="268">
      <c r="A268" s="2" t="n">
        <v>267</v>
      </c>
      <c r="B268" s="2" t="inlineStr">
        <is>
          <t>Self-Corroboration Bar</t>
        </is>
      </c>
      <c r="C268" s="2" t="inlineStr">
        <is>
          <t>Ingestion &amp; Sensory Intake</t>
        </is>
      </c>
      <c r="D268" s="2" t="inlineStr">
        <is>
          <t>§126.5Operator</t>
        </is>
      </c>
      <c r="E268" s="2"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2" t="inlineStr">
        <is>
          <t>Effective source classes D = 1/sum of squared weight proportions; all weight in one engine yields D = 1.</t>
        </is>
      </c>
      <c r="G268" s="2">
        <f>1/((3/3)^2)</f>
        <v/>
      </c>
    </row>
    <row r="269">
      <c r="A269" s="2" t="n">
        <v>268</v>
      </c>
      <c r="B269" s="2" t="inlineStr">
        <is>
          <t>Citation Verification of a Reply</t>
        </is>
      </c>
      <c r="C269" s="2" t="inlineStr">
        <is>
          <t>Ingestion &amp; Sensory Intake</t>
        </is>
      </c>
      <c r="D269" s="2" t="inlineStr">
        <is>
          <t>§126.6Operator</t>
        </is>
      </c>
      <c r="E269" s="2"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2" t="inlineStr">
        <is>
          <t>A corroboration is admitted only where the corroborating record derives from a different source class than the record corroborated.</t>
        </is>
      </c>
      <c r="G269" s="2">
        <f>IF(COUNTIF({"model-A","model-A","model-A"},"model-A")&gt;1,"Refused - self-corroboration within one model","Independent corroboration")</f>
        <v/>
      </c>
    </row>
    <row r="270">
      <c r="A270" s="2" t="n">
        <v>269</v>
      </c>
      <c r="B270" s="2" t="inlineStr">
        <is>
          <t>Competitive Candidate Resolution</t>
        </is>
      </c>
      <c r="C270" s="2" t="inlineStr">
        <is>
          <t>Retrieval &amp; Response</t>
        </is>
      </c>
      <c r="D270" s="2" t="inlineStr">
        <is>
          <t>§21.4.3</t>
        </is>
      </c>
      <c r="E270" s="2"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2" t="inlineStr">
        <is>
          <t>Suppressed activation = a_i - k * sum of activations of candidates inconsistent with i; retained where above the floor.</t>
        </is>
      </c>
      <c r="G270" s="2">
        <f>0.82-0.35*(0.61+0.44)</f>
        <v/>
      </c>
    </row>
    <row r="271">
      <c r="A271" s="2" t="n">
        <v>270</v>
      </c>
      <c r="B271" s="2" t="inlineStr">
        <is>
          <t>Specialized Feed Registration</t>
        </is>
      </c>
      <c r="C271" s="2" t="inlineStr">
        <is>
          <t>Ingestion &amp; Sensory Intake</t>
        </is>
      </c>
      <c r="D271" s="2" t="inlineStr">
        <is>
          <t>§127.1</t>
        </is>
      </c>
      <c r="E271" s="2"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2" t="inlineStr">
        <is>
          <t>A feed is admissible as a query source only where all seven registration properties are present.</t>
        </is>
      </c>
      <c r="G271" s="2">
        <f>IF(COUNTIF({"publication","extraction"},"publication")&gt;0,"Admitted at publication authority; calibration bypassed","Calibrated from extraction")</f>
        <v/>
      </c>
    </row>
    <row r="272">
      <c r="A272" s="2" t="n">
        <v>271</v>
      </c>
      <c r="B272" s="2" t="inlineStr">
        <is>
          <t>Publication Authority Admission</t>
        </is>
      </c>
      <c r="C272" s="2" t="inlineStr">
        <is>
          <t>Ingestion &amp; Sensory Intake</t>
        </is>
      </c>
      <c r="D272" s="2" t="inlineStr">
        <is>
          <t>§127.2</t>
        </is>
      </c>
      <c r="E272" s="2"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2" t="inlineStr">
        <is>
          <t>Point value from a published interval = registered rule over the interval; the interval is retained alongside.</t>
        </is>
      </c>
      <c r="G272" s="2">
        <f>0.5*(18.2+21.6)</f>
        <v/>
      </c>
    </row>
    <row r="273">
      <c r="A273" s="2" t="n">
        <v>272</v>
      </c>
      <c r="B273" s="2" t="inlineStr">
        <is>
          <t>Staleness Bound</t>
        </is>
      </c>
      <c r="C273" s="2" t="inlineStr">
        <is>
          <t>Ingestion &amp; Sensory Intake</t>
        </is>
      </c>
      <c r="D273" s="2" t="inlineStr">
        <is>
          <t>§127.3</t>
        </is>
      </c>
      <c r="E273" s="2"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2" t="inlineStr">
        <is>
          <t>Serve where (query time − publication time) ≤ staleness bound; otherwise return the age and the publication time.</t>
        </is>
      </c>
      <c r="G273" s="2">
        <f>IF(47&lt;=60,"Within staleness bound - served","Stale - refused with age stated")</f>
        <v/>
      </c>
    </row>
    <row r="274">
      <c r="A274" s="2" t="n">
        <v>273</v>
      </c>
      <c r="B274" s="2" t="inlineStr">
        <is>
          <t>Restatement Distinct From Correction</t>
        </is>
      </c>
      <c r="C274" s="2" t="inlineStr">
        <is>
          <t>Ingestion &amp; Sensory Intake</t>
        </is>
      </c>
      <c r="D274" s="2" t="inlineStr">
        <is>
          <t>§127.4</t>
        </is>
      </c>
      <c r="E274" s="2"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2" t="inlineStr">
        <is>
          <t>A revision is a restatement or a correction by registered policy; the relation determines whether the prior value is marked erroneous.</t>
        </is>
      </c>
      <c r="G274" s="2">
        <f>IF(COUNTIF({"restatement","correction"},"restatement")&gt;0,"Prior value retained as correct-when-published","Prior value superseded as erroneous")</f>
        <v/>
      </c>
    </row>
    <row r="275">
      <c r="A275" s="2" t="n">
        <v>274</v>
      </c>
      <c r="B275" s="2" t="inlineStr">
        <is>
          <t>Redistribution Entitlement</t>
        </is>
      </c>
      <c r="C275" s="2" t="inlineStr">
        <is>
          <t>Ingestion &amp; Sensory Intake</t>
        </is>
      </c>
      <c r="D275" s="2" t="inlineStr">
        <is>
          <t>§127.5</t>
        </is>
      </c>
      <c r="E275" s="2"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2" t="inlineStr">
        <is>
          <t>A value enters a response only where the requester's redistribution entitlement admits the intended use.</t>
        </is>
      </c>
      <c r="G275" s="2">
        <f>IF(COUNTIF({"view","redistribute"},"redistribute")&gt;0,"Refused - redistribution not entitled","Value may be displayed")</f>
        <v/>
      </c>
    </row>
    <row r="276">
      <c r="A276" s="2" t="n">
        <v>275</v>
      </c>
      <c r="B276" s="2" t="inlineStr">
        <is>
          <t>Agent Definition Completeness</t>
        </is>
      </c>
      <c r="C276" s="2" t="inlineStr">
        <is>
          <t>Platform Governance &amp; Evolution</t>
        </is>
      </c>
      <c r="D276" s="2" t="inlineStr">
        <is>
          <t>§128.1</t>
        </is>
      </c>
      <c r="E276" s="2"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2" t="inlineStr">
        <is>
          <t>Registration proceeds only where every element of all six definition phases is present.</t>
        </is>
      </c>
      <c r="G276" s="2">
        <f>IF(AND(1=1,1=1,1=1,1=1,1=1,1=1),"Agent admitted to registration","Refused - definition incomplete")</f>
        <v/>
      </c>
    </row>
    <row r="277">
      <c r="A277" s="2" t="n">
        <v>276</v>
      </c>
      <c r="B277" s="2" t="inlineStr">
        <is>
          <t>Agent Capability Bounding</t>
        </is>
      </c>
      <c r="C277" s="2" t="inlineStr">
        <is>
          <t>Platform Governance &amp; Evolution</t>
        </is>
      </c>
      <c r="D277" s="2" t="inlineStr">
        <is>
          <t>§128.1</t>
        </is>
      </c>
      <c r="E277" s="2"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2" t="inlineStr">
        <is>
          <t>An operation executes only where it lies within the agent's declared capability set.</t>
        </is>
      </c>
      <c r="G277" s="2">
        <f>IF(COUNTIF({"read","compose"},"write")&gt;0,"Refused - capability not declared","Within declared capability")</f>
        <v/>
      </c>
    </row>
    <row r="278">
      <c r="A278" s="2" t="n">
        <v>277</v>
      </c>
      <c r="B278" s="2" t="inlineStr">
        <is>
          <t>Agent Lifecycle Enforcement</t>
        </is>
      </c>
      <c r="C278" s="2" t="inlineStr">
        <is>
          <t>Platform Governance &amp; Evolution</t>
        </is>
      </c>
      <c r="D278" s="2" t="inlineStr">
        <is>
          <t>§128.4</t>
        </is>
      </c>
      <c r="E278" s="2"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2" t="inlineStr">
        <is>
          <t>An agent terminates where elapsed lifetime reaches the registered lifecycle bound, irrespective of attention.</t>
        </is>
      </c>
      <c r="G278" s="2">
        <f>IF(14&gt;=14,"Lifecycle expired - agent terminated","Within lifecycle")</f>
        <v/>
      </c>
    </row>
    <row r="279">
      <c r="A279" s="2" t="n">
        <v>278</v>
      </c>
      <c r="B279" s="2" t="inlineStr">
        <is>
          <t>Agent Decision Trace</t>
        </is>
      </c>
      <c r="C279" s="2" t="inlineStr">
        <is>
          <t>Platform Governance &amp; Evolution</t>
        </is>
      </c>
      <c r="D279" s="2" t="inlineStr">
        <is>
          <t>§128.5</t>
        </is>
      </c>
      <c r="E279" s="2"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2" t="inlineStr">
        <is>
          <t>A deductive conclusion an agent may admit carries confidence bounded by the least of the traversed edge confidences.</t>
        </is>
      </c>
      <c r="G279" s="2">
        <f>MIN(0.62,0.55)</f>
        <v/>
      </c>
    </row>
    <row r="280">
      <c r="A280" s="2" t="n">
        <v>279</v>
      </c>
      <c r="B280" s="2" t="inlineStr">
        <is>
          <t>Advisory Distinguished From Approval</t>
        </is>
      </c>
      <c r="C280" s="2" t="inlineStr">
        <is>
          <t>Platform Governance &amp; Evolution</t>
        </is>
      </c>
      <c r="D280" s="2" t="inlineStr">
        <is>
          <t>§128.6</t>
        </is>
      </c>
      <c r="E280" s="2"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2" t="inlineStr">
        <is>
          <t>A registration or continuation proceeds on a recorded human approval; an agent's own report is advisory only.</t>
        </is>
      </c>
      <c r="G280" s="2">
        <f>IF(COUNTIF({"advisory","approval"},"approval")&gt;0,"Named human approval recorded","Advisory only - not an approval")</f>
        <v/>
      </c>
    </row>
    <row r="281">
      <c r="A281" s="2" t="n">
        <v>280</v>
      </c>
      <c r="B281" s="2" t="inlineStr">
        <is>
          <t>Skill Inventory Layer</t>
        </is>
      </c>
      <c r="C281" s="2" t="inlineStr">
        <is>
          <t>World Model &amp; Perception</t>
        </is>
      </c>
      <c r="D281" s="2" t="inlineStr">
        <is>
          <t>§53.10 (Pass 113)</t>
        </is>
      </c>
      <c r="E281" s="2"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2" t="inlineStr">
        <is>
          <t>A procedural concept informs Scenario Graph simulation and equipment-control command compilation; it never itself emits a command, every emission remaining subject to the constraint evaluation and authorization classes specified for equipment control.</t>
        </is>
      </c>
      <c r="G281" s="2" t="inlineStr"/>
    </row>
    <row r="282">
      <c r="A282" s="2" t="n">
        <v>281</v>
      </c>
      <c r="B282" s="2" t="inlineStr">
        <is>
          <t>Epistemic–Aleatory Uncertainty Decomposition</t>
        </is>
      </c>
      <c r="C282" s="2" t="inlineStr">
        <is>
          <t>Knowledge Substrate</t>
        </is>
      </c>
      <c r="D282" s="2" t="inlineStr">
        <is>
          <t>§3.8.1 (Pass 115)</t>
        </is>
      </c>
      <c r="E282" s="2" t="inlineStr">
        <is>
          <t>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is>
      </c>
      <c r="F282" s="2" t="inlineStr">
        <is>
          <t>The Baconian loop iterates while residual uncertainty is predominantly epistemic and stands down, discarding no evidence, when the residue is aleatory.</t>
        </is>
      </c>
      <c r="G282" s="2" t="n"/>
    </row>
    <row r="283">
      <c r="A283" s="2" t="n">
        <v>282</v>
      </c>
      <c r="B283" s="2" t="inlineStr">
        <is>
          <t>Assertion Polarity Field</t>
        </is>
      </c>
      <c r="C283" s="2" t="inlineStr">
        <is>
          <t>Knowledge Substrate</t>
        </is>
      </c>
      <c r="D283" s="2" t="inlineStr">
        <is>
          <t>§3.8.2 (Pass 115)</t>
        </is>
      </c>
      <c r="E283" s="2" t="inlineStr">
        <is>
          <t>Mark every Fact Unit explicitly affirmative or negative, making a negative finding a first-class record; polarity participates in the semantic fingerprint.</t>
        </is>
      </c>
      <c r="F283" s="2" t="inlineStr">
        <is>
          <t>Records agreeing on the same assertion core with opposite polarity are contradictory by field comparison; the absence of any record obliges refusal under the Without-Information Rule, while a known negative is an answer.</t>
        </is>
      </c>
      <c r="G283" s="2" t="n"/>
    </row>
    <row r="284">
      <c r="A284" s="2" t="n">
        <v>283</v>
      </c>
      <c r="B284" s="2" t="inlineStr">
        <is>
          <t>Native N-ary Assertion Structure</t>
        </is>
      </c>
      <c r="C284" s="2" t="inlineStr">
        <is>
          <t>Knowledge Substrate</t>
        </is>
      </c>
      <c r="D284" s="2" t="inlineStr">
        <is>
          <t>§3.8.3 (Pass 115)</t>
        </is>
      </c>
      <c r="E284" s="2" t="inlineStr">
        <is>
          <t>Carry one assertion with multiple typed argument slots — subject, value, unit, instrument, method, condition, observer — under one FUID, one semantic fingerprint computed over the complete argument structure, and one evidence pair.</t>
        </is>
      </c>
      <c r="F284" s="2" t="inlineStr">
        <is>
          <t>An n-ary assertion is one atomic record, never a constellation of binary statements joined by synthetic nodes.</t>
        </is>
      </c>
      <c r="G284" s="2" t="n"/>
    </row>
    <row r="285">
      <c r="A285" s="2" t="n">
        <v>284</v>
      </c>
      <c r="B285" s="2" t="inlineStr">
        <is>
          <t>Applicability Scope Field</t>
        </is>
      </c>
      <c r="C285" s="2" t="inlineStr">
        <is>
          <t>Knowledge Substrate</t>
        </is>
      </c>
      <c r="D285" s="2" t="inlineStr">
        <is>
          <t>§3.8.4 (Pass 115)</t>
        </is>
      </c>
      <c r="E285" s="2" t="inlineStr">
        <is>
          <t>State in the record the conditions under which the assertion holds — temporal interval, jurisdiction, edition, parameter range, population — as the record-side complement of the context lock.</t>
        </is>
      </c>
      <c r="F285" s="2" t="inlineStr">
        <is>
          <t>Scope participates in retrieval matching; assertions under disjoint scopes do not conflict and are reported by condition rather than as contradiction.</t>
        </is>
      </c>
      <c r="G285" s="2" t="n"/>
    </row>
    <row r="286">
      <c r="A286" s="2" t="n">
        <v>285</v>
      </c>
      <c r="B286" s="2" t="inlineStr">
        <is>
          <t>Baconian Adjustment History Layer</t>
        </is>
      </c>
      <c r="C286" s="2" t="inlineStr">
        <is>
          <t>Knowledge Substrate</t>
        </is>
      </c>
      <c r="D286" s="2" t="inlineStr">
        <is>
          <t>§3.8.5 (Pass 115)</t>
        </is>
      </c>
      <c r="E286" s="2" t="inlineStr">
        <is>
          <t>Append an immutable history entry on every feedback-loop pass — the observation, its source class, the fractional reliability weighting applied, and the resulting movement of the evidence pair and credible interval.</t>
        </is>
      </c>
      <c r="F286" s="2" t="inlineStr">
        <is>
          <t>The history layer is metadata only and never touches semantic identity; a record’s confidence is deterministically replayable from first observation to present state.</t>
        </is>
      </c>
      <c r="G286" s="2" t="n"/>
    </row>
    <row r="287">
      <c r="A287" s="2" t="n">
        <v>286</v>
      </c>
      <c r="B287" s="2" t="inlineStr">
        <is>
          <t>Cryptographic Integrity Chain</t>
        </is>
      </c>
      <c r="C287" s="2" t="inlineStr">
        <is>
          <t>Knowledge Substrate</t>
        </is>
      </c>
      <c r="D287" s="2" t="inlineStr">
        <is>
          <t>§3.8.6 (Pass 115)</t>
        </is>
      </c>
      <c r="E287" s="2" t="inlineStr">
        <is>
          <t>Hash each record’s immutable core and carry the superseded record’s hash on every supersession link, making version chains tamper-evident end to end by standard hashing alone.</t>
        </is>
      </c>
      <c r="F287" s="2" t="inlineStr">
        <is>
          <t>Integrity machinery is internal to the Fact Graph: no distributed ledger, no token, no ownership identity node — the declined blockchain ownership layer remains declined.</t>
        </is>
      </c>
      <c r="G287" s="2" t="n"/>
    </row>
    <row r="288">
      <c r="A288" s="2" t="n">
        <v>287</v>
      </c>
      <c r="B288" s="2" t="inlineStr">
        <is>
          <t>Canonical Compact Encoding</t>
        </is>
      </c>
      <c r="C288" s="2" t="inlineStr">
        <is>
          <t>Knowledge Substrate</t>
        </is>
      </c>
      <c r="D288" s="2" t="inlineStr">
        <is>
          <t>§3.8.7 (Pass 115)</t>
        </is>
      </c>
      <c r="E288" s="2" t="inlineStr">
        <is>
          <t>Serialize the Fact Unit to a defined lossless binary form — required fields at fixed positions, optional fields as tagged extensions — with FUID and semantic fingerprint identical in either form.</t>
        </is>
      </c>
      <c r="F288" s="2" t="inlineStr">
        <is>
          <t>The compact form is the same record, not a summary of it; it round-trips without change and grounds micro-embedded and offline deployment and record-level semantic media compression.</t>
        </is>
      </c>
      <c r="G288" s="2" t="n"/>
    </row>
    <row r="289">
      <c r="A289" s="2" t="n">
        <v>288</v>
      </c>
      <c r="B289" s="2" t="inlineStr">
        <is>
          <t>Record-Fused Canonical Encoding</t>
        </is>
      </c>
      <c r="C289" s="2" t="inlineStr">
        <is>
          <t>Knowledge Substrate</t>
        </is>
      </c>
      <c r="D289" s="2" t="inlineStr">
        <is>
          <t>§3.9.1 (Pass 116)</t>
        </is>
      </c>
      <c r="E289" s="2" t="inlineStr">
        <is>
          <t>Carry the compact canonical encoding of §3.8.7 as the Fact Unit’s own at-rest and wire form — required fields at fixed offsets, optional fields tagged, FUID and semantic fingerprint identical to the full form — so the encoded record is self-describing without an external schema.</t>
        </is>
      </c>
      <c r="F289" s="2" t="inlineStr">
        <is>
          <t>The encoding is fused to the record, not to any store; it is the same record in memory, on disk, or in flight.</t>
        </is>
      </c>
      <c r="G289" s="2" t="n"/>
    </row>
    <row r="290">
      <c r="A290" s="2" t="n">
        <v>289</v>
      </c>
      <c r="B290" s="2" t="inlineStr">
        <is>
          <t>Opaque-Blob Storage Contract (Database-Neutral Boundary)</t>
        </is>
      </c>
      <c r="C290" s="2" t="inlineStr">
        <is>
          <t>Knowledge Substrate</t>
        </is>
      </c>
      <c r="D290" s="2" t="inlineStr">
        <is>
          <t>§3.9.2 (Pass 116)</t>
        </is>
      </c>
      <c r="E290" s="2" t="inlineStr">
        <is>
          <t>Store an encoded Fact Unit in any host database, repository, or key-value store as an opaque value the store never parses, indexes internally, or interprets; expose only the FUID and fingerprint as opaque keys where an index is wanted.</t>
        </is>
      </c>
      <c r="F290" s="2" t="inlineStr">
        <is>
          <t>The store’s only obligations are to accept and return bytes unchanged, so any database qualifies and no proprietary format or query-engine capability is imposed on it.</t>
        </is>
      </c>
      <c r="G290" s="2" t="n"/>
    </row>
    <row r="291">
      <c r="A291" s="2" t="n">
        <v>290</v>
      </c>
      <c r="B291" s="2" t="inlineStr">
        <is>
          <t>Internal Fact Query with Edge Translation</t>
        </is>
      </c>
      <c r="C291" s="2" t="inlineStr">
        <is>
          <t>Retrieval &amp; Response</t>
        </is>
      </c>
      <c r="D291" s="2" t="inlineStr">
        <is>
          <t>§3.9.3 (Pass 116)</t>
        </is>
      </c>
      <c r="E291" s="2" t="inlineStr">
        <is>
          <t>Express queries over Fact Units internally in terms of the record (identifiers, fingerprint, typed adjacency, confidence, applicability scope); where external material is needed, an adapter translates the request into the host store’s native language.</t>
        </is>
      </c>
      <c r="F291" s="2" t="inlineStr">
        <is>
          <t>The external store never receives the internal fact-query form; it is a source and repository, never the reasoning engine, so the guarantees are independent of it.</t>
        </is>
      </c>
      <c r="G291" s="2" t="n"/>
    </row>
    <row r="292">
      <c r="A292" s="2" t="n">
        <v>291</v>
      </c>
      <c r="B292" s="2" t="inlineStr">
        <is>
          <t>In-Transit and At-Rest Record Confidentiality and Integrity</t>
        </is>
      </c>
      <c r="C292" s="2" t="inlineStr">
        <is>
          <t>Access, Rights &amp; Retention</t>
        </is>
      </c>
      <c r="D292" s="2" t="inlineStr">
        <is>
          <t>§3.9.4 (Pass 116)</t>
        </is>
      </c>
      <c r="E292" s="2" t="inlineStr">
        <is>
          <t>Carry the integrity hash chain (§3.8.6) and the in-record safety classification and access-control list (§3.1) within the encoded blob across the storage boundary; under the zero-knowledge and key-custody provisions the encoded record is unreadable by the host store.</t>
        </is>
      </c>
      <c r="F292" s="2" t="inlineStr">
        <is>
          <t>Any store will hold the record and no store can read, reorder, or leak its meaning; database neutrality is preserved and strengthened.</t>
        </is>
      </c>
      <c r="G292" s="2" t="n"/>
    </row>
    <row r="293">
      <c r="A293" s="2" t="n">
        <v>292</v>
      </c>
      <c r="B293" s="2" t="inlineStr">
        <is>
          <t>Fact Unit Language</t>
        </is>
      </c>
      <c r="C293" s="2" t="inlineStr">
        <is>
          <t>Knowledge Substrate</t>
        </is>
      </c>
      <c r="D293" s="2" t="inlineStr">
        <is>
          <t>§3.10 (Pass 117) · Provisional claim 342</t>
        </is>
      </c>
      <c r="E293" s="2" t="inlineStr">
        <is>
          <t>Express every Fact Unit in a formal, language-independent assertion language whose vocabulary is the governed predicate catalogue, whose grammar is the record schema, and whose identity function is the semantic fingerprint; refuse a non-conforming candidate at admission.</t>
        </is>
      </c>
      <c r="F293" s="2" t="inlineStr">
        <is>
          <t>Two records asserting the same proposition in different natural languages are the same statement; retrieval, contradiction detection, and regeneration operate on the assertion language, not on natural-language text. Recited as provisional claim 342.</t>
        </is>
      </c>
      <c r="G29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3" t="inlineStr">
        <is>
          <t>QueryBook Composite Feature Registry v63</t>
        </is>
      </c>
    </row>
    <row r="2">
      <c r="A2" s="2" t="inlineStr">
        <is>
          <t>Assembled September 6, 2026, from Composite Registry v62 plus the Fact Unit Language, adopted as Bible v2.1 Pass 117 (§3.10) and recited as provisional claim 342, upon the inventor’s direction to adopt the Fact Unit Language claim.</t>
        </is>
      </c>
    </row>
    <row r="3">
      <c r="A3" s="2" t="inlineStr">
        <is>
          <t>Features: 292. Rows 1–279 are the canonical 279 (Inventory v59, provisional Appendix A). Row 280 Skill Inventory Layer (Pass 113). Rows 281–287 enhanced Fact Unit record field families (§3.8, Pass 115). Rows 288–291 record-fused encoding and database-neutral boundary (§3.9, Pass 116). Row 292 the Fact Unit Language (§3.10, Pass 117), an element-light formal assertion language reciting the record as a language rather than a field list. All additive: no field of §3.1, no layer of §3.6, and no behaviour of §3.7 removed or altered.</t>
        </is>
      </c>
    </row>
    <row r="4">
      <c r="A4" s="2" t="inlineStr">
        <is>
          <t>Worked expressions: 229 — unchanged.</t>
        </is>
      </c>
    </row>
    <row r="5">
      <c r="A5" s="2" t="inlineStr">
        <is>
          <t>Claims: 342 (contiguous 1–342, 7 independent). Claim 342 is the Fact Unit Language, adopted this pass and appended after the defined-agent claims 333–341. Features 280–292 post-date the provisional’s Appendix A and enter it, with the remaining new claims, when the application is next regenerated from Bible v2.1 (Pass 117).</t>
        </is>
      </c>
    </row>
    <row r="6">
      <c r="A6" s="2" t="inlineStr">
        <is>
          <t>Additive covenant: strict super-set of Composite Registry v62 (291 features); no feature removed. Covenant floor now 292 features / 342 claims. The one recorded removal, Community Query Mode, predates the covenant. The previously-removed mandatory external fact-transport format and external fact-query language remain removed; the Fact Unit Language of §3.10 names the record’s own notation and introduces no external transport or query standard.</t>
        </is>
      </c>
    </row>
    <row r="7">
      <c r="A7" s="2" t="inlineStr">
        <is>
          <t>Canon of record: Bible v2.1 (Pass 117) · Provisional CONSOLIDATED v2.5 · Core Technology Overview v12 · Feature Inventory v59 · QueryBook Master Bible (Sept 1) · this Composite Registry v63.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2026-09-02T04:14:04Z</dcterms:created>
  <dcterms:modified xsi:type="dcterms:W3CDTF">2026-09-06T03:18:33Z</dcterms:modified>
</cp:coreProperties>
</file>