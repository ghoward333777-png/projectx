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s" sheetId="2" state="visible" r:id="rId4"/>
    <sheet name="Algorithms" sheetId="3" state="visible" r:id="rId5"/>
    <sheet name="Reference Numerals" sheetId="4" state="visible" r:id="rId6"/>
    <sheet name="Claims Map" sheetId="5" state="visible" r:id="rId7"/>
  </sheets>
  <definedNames>
    <definedName function="false" hidden="true" localSheetId="2" name="_xlnm._FilterDatabase" vbProcedure="false">Algorithms!$A$1:$J$7</definedName>
    <definedName function="false" hidden="true" localSheetId="4" name="_xlnm._FilterDatabase" vbProcedure="false">'Claims Map'!$A$1:$E$12</definedName>
    <definedName function="false" hidden="true" localSheetId="1" name="_xlnm._FilterDatabase" vbProcedure="false">Features!$A$1:$L$19</definedName>
    <definedName function="false" hidden="true" localSheetId="3" name="_xlnm._FilterDatabase" vbProcedure="false">'Reference Numerals'!$A$1:$D$33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<sst xmlns="http://schemas.openxmlformats.org/spreadsheetml/2006/main" count="347" uniqueCount="223">
  <si>
    <t xml:space="preserve">Verified Agent Transport — Feature Registry</t>
  </si>
  <si>
    <t xml:space="preserve">The QueryBook AI Agent Wrapper Service. Extracted from QueryBook Composite Feature Registry v67 (rows 364–381); numbering follows the standalone application.</t>
  </si>
  <si>
    <t xml:space="preserve">Measure</t>
  </si>
  <si>
    <t xml:space="preserve">Value</t>
  </si>
  <si>
    <t xml:space="preserve">Features</t>
  </si>
  <si>
    <t xml:space="preserve">Features specified, not yet built</t>
  </si>
  <si>
    <t xml:space="preserve">Features with a worked expression</t>
  </si>
  <si>
    <t xml:space="preserve">Features shown in FIG. 1</t>
  </si>
  <si>
    <t xml:space="preserve">Features shown in FIG. 2</t>
  </si>
  <si>
    <t xml:space="preserve">Algorithms</t>
  </si>
  <si>
    <t xml:space="preserve">Reference numerals</t>
  </si>
  <si>
    <t xml:space="preserve">Claims</t>
  </si>
  <si>
    <t xml:space="preserve">Independent claims</t>
  </si>
  <si>
    <t xml:space="preserve">Features by domain</t>
  </si>
  <si>
    <t xml:space="preserve">Access, Rights &amp; Retention</t>
  </si>
  <si>
    <t xml:space="preserve">External Integration &amp; Analysis</t>
  </si>
  <si>
    <t xml:space="preserve">Inference, Prediction &amp; Calibration</t>
  </si>
  <si>
    <t xml:space="preserve">Ingestion &amp; Sensory Intake</t>
  </si>
  <si>
    <t xml:space="preserve">Knowledge Substrate</t>
  </si>
  <si>
    <t xml:space="preserve">Platform Governance &amp; Evolution</t>
  </si>
  <si>
    <t xml:space="preserve">Retrieval &amp; Response</t>
  </si>
  <si>
    <t xml:space="preserve">ID</t>
  </si>
  <si>
    <t xml:space="preserve">Feature</t>
  </si>
  <si>
    <t xml:space="preserve">Domain</t>
  </si>
  <si>
    <t xml:space="preserve">FIG. (this application)</t>
  </si>
  <si>
    <t xml:space="preserve">FIG. (QueryBook application)</t>
  </si>
  <si>
    <t xml:space="preserve">Role</t>
  </si>
  <si>
    <t xml:space="preserve">Function</t>
  </si>
  <si>
    <t xml:space="preserve">Rule</t>
  </si>
  <si>
    <t xml:space="preserve">Worked expression</t>
  </si>
  <si>
    <t xml:space="preserve">Status</t>
  </si>
  <si>
    <t xml:space="preserve">Prototype module</t>
  </si>
  <si>
    <t xml:space="preserve">QueryBook Registry v67 No.</t>
  </si>
  <si>
    <t xml:space="preserve">VAT-01</t>
  </si>
  <si>
    <t xml:space="preserve">VAT Sidecar Relay</t>
  </si>
  <si>
    <t xml:space="preserve">1</t>
  </si>
  <si>
    <t xml:space="preserve">56</t>
  </si>
  <si>
    <t xml:space="preserve">Agent / Operator</t>
  </si>
  <si>
    <t xml:space="preserve">Place a sidecar beside each AI agent as its only network route; the sidecar frames, verifies, records and certifies every message the agent sends or receives (110).</t>
  </si>
  <si>
    <t xml:space="preserve">Only traffic that passes through the sidecar is verified, recorded and certified; the agent itself is unmodified.</t>
  </si>
  <si>
    <t xml:space="preserve">Specified</t>
  </si>
  <si>
    <t xml:space="preserve">qb_vat_sidecar (planned)</t>
  </si>
  <si>
    <t xml:space="preserve">VAT-02</t>
  </si>
  <si>
    <t xml:space="preserve">Agent Egress Lock</t>
  </si>
  <si>
    <t xml:space="preserve">Operator</t>
  </si>
  <si>
    <t xml:space="preserve">Restrict the agent's outbound network access to its sidecar by firewall rule, Kubernetes NetworkPolicy or container namespace (105).</t>
  </si>
  <si>
    <t xml:space="preserve">Any connection from the agent to a destination other than the sidecar is dropped and recorded.</t>
  </si>
  <si>
    <t xml:space="preserve">VAT-03</t>
  </si>
  <si>
    <t xml:space="preserve">VAT Protocol Adapters (MCP / A2A / HTTP)</t>
  </si>
  <si>
    <t xml:space="preserve">56, 54 (also cites QueryBook FIG. 54)</t>
  </si>
  <si>
    <t xml:space="preserve">Agent</t>
  </si>
  <si>
    <t xml:space="preserve">Accept the agent's existing Model Context Protocol tool calls, agent-to-agent messages and HTTP requests and translate them into frames (112).</t>
  </si>
  <si>
    <t xml:space="preserve">Adapters change the carriage, never the content; untranslatable traffic is refused, not forwarded raw.</t>
  </si>
  <si>
    <t xml:space="preserve">VAT-04</t>
  </si>
  <si>
    <t xml:space="preserve">VAT Frame Types 16–27</t>
  </si>
  <si>
    <t xml:space="preserve">56, 55 (also cites QueryBook FIG. 55)</t>
  </si>
  <si>
    <t xml:space="preserve">Extend the UFCS-FQL/1 frame with message types CLAIM, QUERY, ANSWER, INTENT, ACTION, RESULT, VERDICT, DATA, CERT, HAVE, WANT and TEXT, leaving the 32-byte header unchanged (118).</t>
  </si>
  <si>
    <t xml:space="preserve">Types 0–2 keep their existing meaning; an unknown type is rejected by the codec.</t>
  </si>
  <si>
    <t xml:space="preserve">qb_vat_frames (planned)</t>
  </si>
  <si>
    <t xml:space="preserve">VAT-05</t>
  </si>
  <si>
    <t xml:space="preserve">Verified-Hop Flag and Session/Hop Field</t>
  </si>
  <si>
    <t xml:space="preserve">Mark a frame that has passed a verifying hop with flag 0x0040 and carry a session number and hop count in the reserved header field.</t>
  </si>
  <si>
    <t xml:space="preserve">A frame claiming verification without a matching signed verdict in the ledger is treated as unverified.</t>
  </si>
  <si>
    <t xml:space="preserve">VAT-06</t>
  </si>
  <si>
    <t xml:space="preserve">VAT Lanes over QUIC with TLS/TCP Fallback</t>
  </si>
  <si>
    <t xml:space="preserve">Carry control, normal and bulk lanes as independent QUIC streams over one encrypted connection, or as three TLS-on-TCP connections where QUIC is unavailable (120–126).</t>
  </si>
  <si>
    <t xml:space="preserve">A stalled bulk transfer never delays a verdict on the control lane.</t>
  </si>
  <si>
    <t xml:space="preserve">VAT-07</t>
  </si>
  <si>
    <t xml:space="preserve">Claim Classification and Extraction</t>
  </si>
  <si>
    <t xml:space="preserve">2</t>
  </si>
  <si>
    <t xml:space="preserve">57</t>
  </si>
  <si>
    <t xml:space="preserve">Classify each sentence of an outbound message as fact, opinion, plan or prediction; extract factual statements as candidate Fact Units with semantic fingerprints (205, 210).</t>
  </si>
  <si>
    <t xml:space="preserve">Non-factual content is labelled and never verified; nothing is presented as checked unless it was.</t>
  </si>
  <si>
    <t xml:space="preserve">VAT-08</t>
  </si>
  <si>
    <t xml:space="preserve">In-Transit Claim Verification</t>
  </si>
  <si>
    <t xml:space="preserve">Agent / Reader</t>
  </si>
  <si>
    <t xml:space="preserve">Look up each claim's fingerprint among certified Fact Units at or above minimum trust; absent a match, run an FQL contradiction query for same subject and predicate with a different object (220, 225).</t>
  </si>
  <si>
    <t xml:space="preserve">Outcome is VERIFIED, CONTRADICTED or UNKNOWN — never a guess; the verifier is a read-only client of the store.</t>
  </si>
  <si>
    <t xml:space="preserve">qb_vat_verify (planned)</t>
  </si>
  <si>
    <t xml:space="preserve">VAT-09</t>
  </si>
  <si>
    <t xml:space="preserve">Signed Verdict Frame and Delivery Policy</t>
  </si>
  <si>
    <t xml:space="preserve">Return a signed VERDICT frame on the control lane citing the units relied on and their trust; apply policy: deliver, annotate, hold for review or block (240).</t>
  </si>
  <si>
    <t xml:space="preserve">A contradicted claim is never delivered unannotated.</t>
  </si>
  <si>
    <t xml:space="preserve">VAT-10</t>
  </si>
  <si>
    <t xml:space="preserve">Verification Coverage Measure</t>
  </si>
  <si>
    <t xml:space="preserve">Reader / Operator</t>
  </si>
  <si>
    <t xml:space="preserve">Report coverage as fact-sentence characters successfully converted divided by total fact-sentence characters; content not converted is reported as unchecked.</t>
  </si>
  <si>
    <t xml:space="preserve">Unchecked content is never counted as verified.</t>
  </si>
  <si>
    <t xml:space="preserve">VAT-11</t>
  </si>
  <si>
    <t xml:space="preserve">Agent Intent Binding</t>
  </si>
  <si>
    <t xml:space="preserve">Require an INTENT frame naming tool, target and purpose before action; compare each ACTION with the declared intent and allow-list (245).</t>
  </si>
  <si>
    <t xml:space="preserve">An action outside the declared intent yields a CONTRADICTED verdict without reference to the fact store.</t>
  </si>
  <si>
    <t xml:space="preserve">VAT-12</t>
  </si>
  <si>
    <t xml:space="preserve">Result-versus-Tool-Record Check</t>
  </si>
  <si>
    <t xml:space="preserve">Compare each result the agent reports with the record returned by the tool itself (245).</t>
  </si>
  <si>
    <t xml:space="preserve">An agent cannot misreport what it did or what a tool returned.</t>
  </si>
  <si>
    <t xml:space="preserve">VAT-13</t>
  </si>
  <si>
    <t xml:space="preserve">Have/Want Fingerprint Exchange</t>
  </si>
  <si>
    <t xml:space="preserve">Before bulk transfer, exchange HAVE and WANT frames of fingerprints so only missing Fact Units are sent; above 4,096 fingerprints use a Bloom filter (false-positive rate ≤ 1e-6) followed by an exact list (290).</t>
  </si>
  <si>
    <t xml:space="preserve">No Fact Unit already held by the receiver is resent.</t>
  </si>
  <si>
    <t xml:space="preserve">VAT-14</t>
  </si>
  <si>
    <t xml:space="preserve">VAT Privacy Mode (Fingerprint-Only)</t>
  </si>
  <si>
    <t xml:space="preserve">Send only fingerprints to the verification service; verdicts are computed from fingerprints alone (295).</t>
  </si>
  <si>
    <t xml:space="preserve">Message text never leaves the sidecar in privacy mode.</t>
  </si>
  <si>
    <t xml:space="preserve">VAT-15</t>
  </si>
  <si>
    <t xml:space="preserve">Agent Session Certificate</t>
  </si>
  <si>
    <t xml:space="preserve">57, 51 (also cites QueryBook FIG. 51)</t>
  </si>
  <si>
    <t xml:space="preserve">Reader / Auditor</t>
  </si>
  <si>
    <t xml:space="preserve">At session end issue a certificate stating verified, contradicted and unknown counts, coverage and a Merkle root over the ledger, signed by the verifier and sealed as a Fact Unit; optional public anchor (270).</t>
  </si>
  <si>
    <t xml:space="preserve">The certificate records what was checked and what the checks found; it does not assert that the agent is honest or that content is true.</t>
  </si>
  <si>
    <t xml:space="preserve">VAT-16</t>
  </si>
  <si>
    <t xml:space="preserve">VAT Hash-Chained Ledger with Merkle Checkpoints</t>
  </si>
  <si>
    <t xml:space="preserve">1, 2</t>
  </si>
  <si>
    <t xml:space="preserve">56, 57, 53 (also cites QueryBook FIG. 53)</t>
  </si>
  <si>
    <t xml:space="preserve">Auditor</t>
  </si>
  <si>
    <t xml:space="preserve">Append every claim, verdict, intent, action and result to a hash chain with write-once Merkle checkpoints (160, 250).</t>
  </si>
  <si>
    <t xml:space="preserve">Altering any entry breaks the chain and the certificate's Merkle root.</t>
  </si>
  <si>
    <t xml:space="preserve">VAT-17</t>
  </si>
  <si>
    <t xml:space="preserve">Agent Reputation Evidence Pair</t>
  </si>
  <si>
    <t xml:space="preserve">57, 19 (also cites QueryBook FIG. 19)</t>
  </si>
  <si>
    <t xml:space="preserve">Accumulate each agent's verified (α) and contradicted (β) counts; reputation = α / (α + β) with a credible interval (280).</t>
  </si>
  <si>
    <t xml:space="preserve">Restriction below the policy threshold always requires a recorded operator decision (Default-on-Deny).</t>
  </si>
  <si>
    <t xml:space="preserve">qb_vat_control (planned)</t>
  </si>
  <si>
    <t xml:space="preserve">VAT-18</t>
  </si>
  <si>
    <t xml:space="preserve">VAT Control Plane</t>
  </si>
  <si>
    <t xml:space="preserve">Distribute allow-lists, honeytokens, verification tiers and verifier keys to sidecars as signed, pull-only bundles (170).</t>
  </si>
  <si>
    <t xml:space="preserve">A sidecar rejects any unsigned or stale bundle.</t>
  </si>
  <si>
    <t xml:space="preserve">QueryBook ID</t>
  </si>
  <si>
    <t xml:space="preserve">Algorithm</t>
  </si>
  <si>
    <t xml:space="preserve">FIG.</t>
  </si>
  <si>
    <t xml:space="preserve">Inputs</t>
  </si>
  <si>
    <t xml:space="preserve">Procedure</t>
  </si>
  <si>
    <t xml:space="preserve">Output</t>
  </si>
  <si>
    <t xml:space="preserve">Deterministic</t>
  </si>
  <si>
    <t xml:space="preserve">Module</t>
  </si>
  <si>
    <t xml:space="preserve">VAT-ALG-1</t>
  </si>
  <si>
    <t xml:space="preserve">ALG-14</t>
  </si>
  <si>
    <t xml:space="preserve">Claim classification and extraction</t>
  </si>
  <si>
    <t xml:space="preserve">Claim Classification and Extraction; Verification Coverage Measure</t>
  </si>
  <si>
    <t xml:space="preserve">Outbound message text</t>
  </si>
  <si>
    <t xml:space="preserve">1. Split into sentences. 2. Classify each as fact, opinion, plan or prediction (rule-based; any model-assisted classifier is recorded as such). 3. For facts, normalize to subject–predicate–object and compute the semantic fingerprint. 4. Coverage = converted fact-sentence characters ÷ total fact-sentence characters; the rest is unchecked.</t>
  </si>
  <si>
    <t xml:space="preserve">Candidate Fact Units with fingerprints; labelled non-facts; coverage</t>
  </si>
  <si>
    <t xml:space="preserve">Yes (rule-based path)</t>
  </si>
  <si>
    <t xml:space="preserve">VAT-ALG-2</t>
  </si>
  <si>
    <t xml:space="preserve">ALG-15</t>
  </si>
  <si>
    <t xml:space="preserve">In-transit claim verification</t>
  </si>
  <si>
    <t xml:space="preserve">In-Transit Claim Verification; Signed Verdict Frame and Delivery Policy</t>
  </si>
  <si>
    <t xml:space="preserve">Claim fingerprint; triple; tier min_trust</t>
  </si>
  <si>
    <t xml:space="preserve">1. If the fingerprint is in the store and its trust ≥ min_trust: VERIFIED, cite it. 2. Else FQL: MATCH subject, predicate WHERE object ≠ claim object AND trust ≥ min_trust; if found: CONTRADICTED, cite the strongest. 3. Else UNKNOWN. 4. Sign the verdict; send on the control lane; apply delivery policy.</t>
  </si>
  <si>
    <t xml:space="preserve">Signed VERDICT frame</t>
  </si>
  <si>
    <t xml:space="preserve">Yes</t>
  </si>
  <si>
    <t xml:space="preserve">VAT-ALG-3</t>
  </si>
  <si>
    <t xml:space="preserve">ALG-16</t>
  </si>
  <si>
    <t xml:space="preserve">Intent and result binding</t>
  </si>
  <si>
    <t xml:space="preserve">Agent Intent Binding; Result-versus-Tool-Record Check</t>
  </si>
  <si>
    <t xml:space="preserve">INTENT frame; ACTION frames; tool records</t>
  </si>
  <si>
    <t xml:space="preserve">1. Record the declared intent (tool, target, purpose). 2. For each ACTION, check tool and target against the intent and allow-list; mismatch gives CONTRADICTED. 3. For each RESULT, compare the agent's report with the tool's own record hash; mismatch gives CONTRADICTED. 4. Append all to the ledger.</t>
  </si>
  <si>
    <t xml:space="preserve">Verdicts on actions and results</t>
  </si>
  <si>
    <t xml:space="preserve">VAT-ALG-4</t>
  </si>
  <si>
    <t xml:space="preserve">ALG-17</t>
  </si>
  <si>
    <t xml:space="preserve">Have/want exchange</t>
  </si>
  <si>
    <t xml:space="preserve">Fingerprint sets held by each peer</t>
  </si>
  <si>
    <t xml:space="preserve">1. Sender lists fingerprints (HAVE). 2. If the list exceeds 4,096, send a Bloom filter sized for false-positive rate ≤ 1e-6. 3. Receiver replies WANT with fingerprints it lacks (exact list for Bloom hits). 4. Sender transmits only wanted Fact Units on the bulk lane.</t>
  </si>
  <si>
    <t xml:space="preserve">Minimal DATA transfer</t>
  </si>
  <si>
    <t xml:space="preserve">VAT-ALG-5</t>
  </si>
  <si>
    <t xml:space="preserve">ALG-18</t>
  </si>
  <si>
    <t xml:space="preserve">Session certificate and Merkle root</t>
  </si>
  <si>
    <t xml:space="preserve">Agent Session Certificate; VAT Hash-Chained Ledger with Merkle Checkpoints</t>
  </si>
  <si>
    <t xml:space="preserve">Session ledger entries</t>
  </si>
  <si>
    <t xml:space="preserve">1. Hash each ledger entry, chained to its predecessor. 2. Build a Merkle tree over entry hashes; take the root. 3. Count verdicts and compute coverage. 4. Sign; seal as a Fact Unit; optionally anchor. Verify: recompute the root from the ledger and compare with the certificate and anchor.</t>
  </si>
  <si>
    <t xml:space="preserve">Signed Agent Session Certificate</t>
  </si>
  <si>
    <t xml:space="preserve">VAT-ALG-6</t>
  </si>
  <si>
    <t xml:space="preserve">ALG-19</t>
  </si>
  <si>
    <t xml:space="preserve">Agent reputation</t>
  </si>
  <si>
    <t xml:space="preserve">Verdict history per agent</t>
  </si>
  <si>
    <t xml:space="preserve">1. α = 1 + verified count; β = 1 + contradicted count. 2. Score = α / (α + β); credible interval from Beta(α, β). 3. If the score falls below the policy threshold, propose tier reduction, approval requirement or allow-list restriction to an operator; apply only on a recorded decision.</t>
  </si>
  <si>
    <t xml:space="preserve">Reputation score and interval; proposed restriction</t>
  </si>
  <si>
    <t xml:space="preserve">Numeral</t>
  </si>
  <si>
    <t xml:space="preserve">Element</t>
  </si>
  <si>
    <t xml:space="preserve">QueryBook numeral</t>
  </si>
  <si>
    <t xml:space="preserve">AI agent (unmodified)</t>
  </si>
  <si>
    <t xml:space="preserve">Egress-lock boundary</t>
  </si>
  <si>
    <t xml:space="preserve">VAT sidecar</t>
  </si>
  <si>
    <t xml:space="preserve">Protocol adapters (MCP, A2A, HTTP)</t>
  </si>
  <si>
    <t xml:space="preserve">Claim extraction</t>
  </si>
  <si>
    <t xml:space="preserve">Intent binding</t>
  </si>
  <si>
    <t xml:space="preserve">Frame codec and signing</t>
  </si>
  <si>
    <t xml:space="preserve">Encrypted connection (QUIC streams or TLS over TCP)</t>
  </si>
  <si>
    <t xml:space="preserve">Control lane</t>
  </si>
  <si>
    <t xml:space="preserve">Normal lane</t>
  </si>
  <si>
    <t xml:space="preserve">Bulk lane</t>
  </si>
  <si>
    <t xml:space="preserve">Peer VAT sidecar</t>
  </si>
  <si>
    <t xml:space="preserve">Destination (agent or tool)</t>
  </si>
  <si>
    <t xml:space="preserve">UFCS verification service</t>
  </si>
  <si>
    <t xml:space="preserve">Ledger and session certificates</t>
  </si>
  <si>
    <t xml:space="preserve">Control plane</t>
  </si>
  <si>
    <t xml:space="preserve">Outbound agent message</t>
  </si>
  <si>
    <t xml:space="preserve">Sentence classification</t>
  </si>
  <si>
    <t xml:space="preserve">Non-fact labelled, never verified</t>
  </si>
  <si>
    <t xml:space="preserve">Triple extraction and semantic fingerprint</t>
  </si>
  <si>
    <t xml:space="preserve">Fingerprint lookup in UFCS store</t>
  </si>
  <si>
    <t xml:space="preserve">FQL contradiction query</t>
  </si>
  <si>
    <t xml:space="preserve">VERIFIED outcome</t>
  </si>
  <si>
    <t xml:space="preserve">CONTRADICTED outcome</t>
  </si>
  <si>
    <t xml:space="preserve">UNKNOWN outcome</t>
  </si>
  <si>
    <t xml:space="preserve">Signed VERDICT frame and delivery policy</t>
  </si>
  <si>
    <t xml:space="preserve">Action vs intent; result vs tool record</t>
  </si>
  <si>
    <t xml:space="preserve">Ledger append (hash chain, Merkle checkpoints)</t>
  </si>
  <si>
    <t xml:space="preserve">Agent reputation (evidence pair)</t>
  </si>
  <si>
    <t xml:space="preserve">Privacy mode (fingerprint-only)</t>
  </si>
  <si>
    <t xml:space="preserve">Claim</t>
  </si>
  <si>
    <t xml:space="preserve">Type</t>
  </si>
  <si>
    <t xml:space="preserve">Depends on</t>
  </si>
  <si>
    <t xml:space="preserve">QueryBook claim</t>
  </si>
  <si>
    <t xml:space="preserve">Independent (method)</t>
  </si>
  <si>
    <t xml:space="preserve">VAT-01, VAT-04, VAT-06, VAT-07, VAT-08, VAT-09, VAT-15, VAT-16</t>
  </si>
  <si>
    <t xml:space="preserve">Dependent</t>
  </si>
  <si>
    <t xml:space="preserve">VAT-11, VAT-12</t>
  </si>
  <si>
    <t xml:space="preserve">VAT-01, VAT-02, VAT-03</t>
  </si>
  <si>
    <t xml:space="preserve">VAT-17, VAT-18</t>
  </si>
  <si>
    <t xml:space="preserve">Independent (computer-readable medium)</t>
  </si>
  <si>
    <t xml:space="preserve">1–10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</si>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</sst>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COUNTA(Features!A2:A200)</f>
        <v>18</v>
      </c>
    </row>
    <row r="6" customFormat="false" ht="15" hidden="false" customHeight="false" outlineLevel="0" collapsed="false">
      <c r="A6" s="4" t="s">
        <v>5</v>
      </c>
      <c r="B6" s="4" t="n">
        <f aca="false">COUNTIF(Features!J2:J200,"Specified")</f>
        <v>18</v>
      </c>
    </row>
    <row r="7" customFormat="false" ht="15" hidden="false" customHeight="false" outlineLevel="0" collapsed="false">
      <c r="A7" s="4" t="s">
        <v>6</v>
      </c>
      <c r="B7" s="4" t="n">
        <f aca="false">SUMPRODUCT(--(Features!I2:I200&lt;&gt;""))</f>
        <v>10</v>
      </c>
    </row>
    <row r="8" customFormat="false" ht="15" hidden="false" customHeight="false" outlineLevel="0" collapsed="false">
      <c r="A8" s="4" t="s">
        <v>7</v>
      </c>
      <c r="B8" s="4" t="n">
        <f aca="false">COUNTIF(Features!D2:D200,"*1*")</f>
        <v>8</v>
      </c>
    </row>
    <row r="9" customFormat="false" ht="15" hidden="false" customHeight="false" outlineLevel="0" collapsed="false">
      <c r="A9" s="4" t="s">
        <v>8</v>
      </c>
      <c r="B9" s="4" t="n">
        <f aca="false">COUNTIF(Features!D2:D200,"*2*")</f>
        <v>11</v>
      </c>
    </row>
    <row r="10" customFormat="false" ht="15" hidden="false" customHeight="false" outlineLevel="0" collapsed="false">
      <c r="A10" s="4" t="s">
        <v>9</v>
      </c>
      <c r="B10" s="4" t="n">
        <f aca="false">COUNTA(Algorithms!A2:A100)</f>
        <v>6</v>
      </c>
    </row>
    <row r="11" customFormat="false" ht="15" hidden="false" customHeight="false" outlineLevel="0" collapsed="false">
      <c r="A11" s="4" t="s">
        <v>10</v>
      </c>
      <c r="B11" s="4" t="n">
        <f aca="false">COUNTA('Reference Numerals'!A2:A100)</f>
        <v>32</v>
      </c>
    </row>
    <row r="12" customFormat="false" ht="15" hidden="false" customHeight="false" outlineLevel="0" collapsed="false">
      <c r="A12" s="4" t="s">
        <v>11</v>
      </c>
      <c r="B12" s="4" t="n">
        <f aca="false">COUNTA('Claims Map'!A2:A100)</f>
        <v>11</v>
      </c>
    </row>
    <row r="13" customFormat="false" ht="15" hidden="false" customHeight="false" outlineLevel="0" collapsed="false">
      <c r="A13" s="4" t="s">
        <v>12</v>
      </c>
      <c r="B13" s="4" t="n">
        <f aca="false">COUNTIF('Claims Map'!B2:B100,"Independent*")</f>
        <v>2</v>
      </c>
    </row>
    <row r="15" customFormat="false" ht="15" hidden="false" customHeight="false" outlineLevel="0" collapsed="false">
      <c r="A15" s="5" t="s">
        <v>13</v>
      </c>
    </row>
    <row r="16" customFormat="false" ht="15" hidden="false" customHeight="false" outlineLevel="0" collapsed="false">
      <c r="A16" s="4" t="s">
        <v>14</v>
      </c>
      <c r="B16" s="4" t="n">
        <f aca="false">COUNTIF(Features!C2:C200,A16)</f>
        <v>2</v>
      </c>
    </row>
    <row r="17" customFormat="false" ht="15" hidden="false" customHeight="false" outlineLevel="0" collapsed="false">
      <c r="A17" s="4" t="s">
        <v>15</v>
      </c>
      <c r="B17" s="4" t="n">
        <f aca="false">COUNTIF(Features!C2:C200,A17)</f>
        <v>6</v>
      </c>
    </row>
    <row r="18" customFormat="false" ht="15" hidden="false" customHeight="false" outlineLevel="0" collapsed="false">
      <c r="A18" s="4" t="s">
        <v>16</v>
      </c>
      <c r="B18" s="4" t="n">
        <f aca="false">COUNTIF(Features!C2:C200,A18)</f>
        <v>2</v>
      </c>
    </row>
    <row r="19" customFormat="false" ht="15" hidden="false" customHeight="false" outlineLevel="0" collapsed="false">
      <c r="A19" s="4" t="s">
        <v>17</v>
      </c>
      <c r="B19" s="4" t="n">
        <f aca="false">COUNTIF(Features!C2:C200,A19)</f>
        <v>1</v>
      </c>
    </row>
    <row r="20" customFormat="false" ht="15" hidden="false" customHeight="false" outlineLevel="0" collapsed="false">
      <c r="A20" s="4" t="s">
        <v>18</v>
      </c>
      <c r="B20" s="4" t="n">
        <f aca="false">COUNTIF(Features!C2:C200,A20)</f>
        <v>2</v>
      </c>
    </row>
    <row r="21" customFormat="false" ht="15" hidden="false" customHeight="false" outlineLevel="0" collapsed="false">
      <c r="A21" s="4" t="s">
        <v>19</v>
      </c>
      <c r="B21" s="4" t="n">
        <f aca="false">COUNTIF(Features!C2:C200,A21)</f>
        <v>4</v>
      </c>
    </row>
    <row r="22" customFormat="false" ht="15" hidden="false" customHeight="false" outlineLevel="0" collapsed="false">
      <c r="A22" s="4" t="s">
        <v>20</v>
      </c>
      <c r="B22" s="4" t="n">
        <f aca="false">COUNTIF(Features!C2:C200,A22)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60"/>
    <col collapsed="false" customWidth="true" hidden="false" outlineLevel="0" max="8" min="8" style="0" width="44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11"/>
  </cols>
  <sheetData>
    <row r="1" customFormat="false" ht="35.05" hidden="false" customHeight="fals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</row>
    <row r="2" customFormat="false" ht="23.85" hidden="false" customHeight="false" outlineLevel="0" collapsed="false">
      <c r="A2" s="7" t="s">
        <v>33</v>
      </c>
      <c r="B2" s="7" t="s">
        <v>34</v>
      </c>
      <c r="C2" s="7" t="s">
        <v>15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7"/>
      <c r="J2" s="7" t="s">
        <v>40</v>
      </c>
      <c r="K2" s="7" t="s">
        <v>41</v>
      </c>
      <c r="L2" s="7" t="n">
        <v>364</v>
      </c>
    </row>
    <row r="3" customFormat="false" ht="23.85" hidden="false" customHeight="false" outlineLevel="0" collapsed="false">
      <c r="A3" s="7" t="s">
        <v>42</v>
      </c>
      <c r="B3" s="7" t="s">
        <v>43</v>
      </c>
      <c r="C3" s="7" t="s">
        <v>14</v>
      </c>
      <c r="D3" s="7" t="s">
        <v>35</v>
      </c>
      <c r="E3" s="7" t="s">
        <v>36</v>
      </c>
      <c r="F3" s="7" t="s">
        <v>44</v>
      </c>
      <c r="G3" s="7" t="s">
        <v>45</v>
      </c>
      <c r="H3" s="7" t="s">
        <v>46</v>
      </c>
      <c r="I3" s="7" t="str">
        <f aca="false">IF("127.0.0.1:8790"="127.0.0.1:8790","Allow - sidecar","Drop and record")</f>
        <v>Allow - sidecar</v>
      </c>
      <c r="J3" s="7" t="s">
        <v>40</v>
      </c>
      <c r="K3" s="7" t="s">
        <v>41</v>
      </c>
      <c r="L3" s="7" t="n">
        <v>365</v>
      </c>
    </row>
    <row r="4" customFormat="false" ht="23.85" hidden="false" customHeight="false" outlineLevel="0" collapsed="false">
      <c r="A4" s="7" t="s">
        <v>47</v>
      </c>
      <c r="B4" s="7" t="s">
        <v>48</v>
      </c>
      <c r="C4" s="7" t="s">
        <v>15</v>
      </c>
      <c r="D4" s="7" t="s">
        <v>35</v>
      </c>
      <c r="E4" s="7" t="s">
        <v>49</v>
      </c>
      <c r="F4" s="7" t="s">
        <v>50</v>
      </c>
      <c r="G4" s="7" t="s">
        <v>51</v>
      </c>
      <c r="H4" s="7" t="s">
        <v>52</v>
      </c>
      <c r="I4" s="7"/>
      <c r="J4" s="7" t="s">
        <v>40</v>
      </c>
      <c r="K4" s="7" t="s">
        <v>41</v>
      </c>
      <c r="L4" s="7" t="n">
        <v>366</v>
      </c>
    </row>
    <row r="5" customFormat="false" ht="35.05" hidden="false" customHeight="false" outlineLevel="0" collapsed="false">
      <c r="A5" s="7" t="s">
        <v>53</v>
      </c>
      <c r="B5" s="7" t="s">
        <v>54</v>
      </c>
      <c r="C5" s="7" t="s">
        <v>15</v>
      </c>
      <c r="D5" s="7" t="s">
        <v>35</v>
      </c>
      <c r="E5" s="7" t="s">
        <v>55</v>
      </c>
      <c r="F5" s="7" t="s">
        <v>50</v>
      </c>
      <c r="G5" s="7" t="s">
        <v>56</v>
      </c>
      <c r="H5" s="7" t="s">
        <v>57</v>
      </c>
      <c r="I5" s="7" t="str">
        <f aca="false">IF(AND(22&gt;=16,22&lt;=27),"VAT type "&amp;22&amp;" = VERDICT","Not a VAT type")</f>
        <v>VAT type 22 = VERDICT</v>
      </c>
      <c r="J5" s="7" t="s">
        <v>40</v>
      </c>
      <c r="K5" s="7" t="s">
        <v>58</v>
      </c>
      <c r="L5" s="7" t="n">
        <v>367</v>
      </c>
    </row>
    <row r="6" customFormat="false" ht="23.85" hidden="false" customHeight="false" outlineLevel="0" collapsed="false">
      <c r="A6" s="7" t="s">
        <v>59</v>
      </c>
      <c r="B6" s="7" t="s">
        <v>60</v>
      </c>
      <c r="C6" s="7" t="s">
        <v>15</v>
      </c>
      <c r="D6" s="7" t="s">
        <v>35</v>
      </c>
      <c r="E6" s="7" t="s">
        <v>36</v>
      </c>
      <c r="F6" s="7" t="s">
        <v>50</v>
      </c>
      <c r="G6" s="7" t="s">
        <v>61</v>
      </c>
      <c r="H6" s="7" t="s">
        <v>62</v>
      </c>
      <c r="I6" s="7" t="str">
        <f aca="false">IF(MOD(INT((64+8)/64),2)=1,"Verified hop","Not verified")</f>
        <v>Verified hop</v>
      </c>
      <c r="J6" s="7" t="s">
        <v>40</v>
      </c>
      <c r="K6" s="7" t="s">
        <v>58</v>
      </c>
      <c r="L6" s="7" t="n">
        <v>368</v>
      </c>
    </row>
    <row r="7" customFormat="false" ht="23.85" hidden="false" customHeight="false" outlineLevel="0" collapsed="false">
      <c r="A7" s="7" t="s">
        <v>63</v>
      </c>
      <c r="B7" s="7" t="s">
        <v>64</v>
      </c>
      <c r="C7" s="7" t="s">
        <v>15</v>
      </c>
      <c r="D7" s="7" t="s">
        <v>35</v>
      </c>
      <c r="E7" s="7" t="s">
        <v>36</v>
      </c>
      <c r="F7" s="7" t="s">
        <v>44</v>
      </c>
      <c r="G7" s="7" t="s">
        <v>65</v>
      </c>
      <c r="H7" s="7" t="s">
        <v>66</v>
      </c>
      <c r="I7" s="7"/>
      <c r="J7" s="7" t="s">
        <v>40</v>
      </c>
      <c r="K7" s="7" t="s">
        <v>41</v>
      </c>
      <c r="L7" s="7" t="n">
        <v>369</v>
      </c>
    </row>
    <row r="8" customFormat="false" ht="23.85" hidden="false" customHeight="false" outlineLevel="0" collapsed="false">
      <c r="A8" s="7" t="s">
        <v>67</v>
      </c>
      <c r="B8" s="7" t="s">
        <v>68</v>
      </c>
      <c r="C8" s="7" t="s">
        <v>17</v>
      </c>
      <c r="D8" s="7" t="s">
        <v>69</v>
      </c>
      <c r="E8" s="7" t="s">
        <v>70</v>
      </c>
      <c r="F8" s="7" t="s">
        <v>50</v>
      </c>
      <c r="G8" s="7" t="s">
        <v>71</v>
      </c>
      <c r="H8" s="7" t="s">
        <v>72</v>
      </c>
      <c r="I8" s="7"/>
      <c r="J8" s="7" t="s">
        <v>40</v>
      </c>
      <c r="K8" s="7" t="s">
        <v>41</v>
      </c>
      <c r="L8" s="7" t="n">
        <v>370</v>
      </c>
    </row>
    <row r="9" customFormat="false" ht="35.05" hidden="false" customHeight="false" outlineLevel="0" collapsed="false">
      <c r="A9" s="7" t="s">
        <v>73</v>
      </c>
      <c r="B9" s="7" t="s">
        <v>74</v>
      </c>
      <c r="C9" s="7" t="s">
        <v>20</v>
      </c>
      <c r="D9" s="7" t="s">
        <v>69</v>
      </c>
      <c r="E9" s="7" t="s">
        <v>70</v>
      </c>
      <c r="F9" s="7" t="s">
        <v>75</v>
      </c>
      <c r="G9" s="7" t="s">
        <v>76</v>
      </c>
      <c r="H9" s="7" t="s">
        <v>77</v>
      </c>
      <c r="I9" s="7" t="str">
        <f aca="false">IF(TRUE(),"VERIFIED",IF(FALSE(),"CONTRADICTED","UNKNOWN"))</f>
        <v>VERIFIED</v>
      </c>
      <c r="J9" s="7" t="s">
        <v>40</v>
      </c>
      <c r="K9" s="7" t="s">
        <v>78</v>
      </c>
      <c r="L9" s="7" t="n">
        <v>371</v>
      </c>
    </row>
    <row r="10" customFormat="false" ht="23.85" hidden="false" customHeight="false" outlineLevel="0" collapsed="false">
      <c r="A10" s="7" t="s">
        <v>79</v>
      </c>
      <c r="B10" s="7" t="s">
        <v>80</v>
      </c>
      <c r="C10" s="7" t="s">
        <v>19</v>
      </c>
      <c r="D10" s="7" t="s">
        <v>69</v>
      </c>
      <c r="E10" s="7" t="s">
        <v>70</v>
      </c>
      <c r="F10" s="7" t="s">
        <v>44</v>
      </c>
      <c r="G10" s="7" t="s">
        <v>81</v>
      </c>
      <c r="H10" s="7" t="s">
        <v>82</v>
      </c>
      <c r="I10" s="7" t="str">
        <f aca="false">IF("CONTRADICTED"="CONTRADICTED","Block or annotate","Deliver")</f>
        <v>Block or annotate</v>
      </c>
      <c r="J10" s="7" t="s">
        <v>40</v>
      </c>
      <c r="K10" s="7" t="s">
        <v>78</v>
      </c>
      <c r="L10" s="7" t="n">
        <v>372</v>
      </c>
    </row>
    <row r="11" customFormat="false" ht="23.85" hidden="false" customHeight="false" outlineLevel="0" collapsed="false">
      <c r="A11" s="7" t="s">
        <v>83</v>
      </c>
      <c r="B11" s="7" t="s">
        <v>84</v>
      </c>
      <c r="C11" s="7" t="s">
        <v>16</v>
      </c>
      <c r="D11" s="7" t="s">
        <v>69</v>
      </c>
      <c r="E11" s="7" t="s">
        <v>70</v>
      </c>
      <c r="F11" s="7" t="s">
        <v>85</v>
      </c>
      <c r="G11" s="7" t="s">
        <v>86</v>
      </c>
      <c r="H11" s="7" t="s">
        <v>87</v>
      </c>
      <c r="I11" s="7" t="n">
        <f aca="false">ROUND(4600/5000,2)</f>
        <v>0.92</v>
      </c>
      <c r="J11" s="7" t="s">
        <v>40</v>
      </c>
      <c r="K11" s="7" t="s">
        <v>41</v>
      </c>
      <c r="L11" s="7" t="n">
        <v>373</v>
      </c>
    </row>
    <row r="12" customFormat="false" ht="23.85" hidden="false" customHeight="false" outlineLevel="0" collapsed="false">
      <c r="A12" s="7" t="s">
        <v>88</v>
      </c>
      <c r="B12" s="7" t="s">
        <v>89</v>
      </c>
      <c r="C12" s="7" t="s">
        <v>19</v>
      </c>
      <c r="D12" s="7" t="s">
        <v>69</v>
      </c>
      <c r="E12" s="7" t="s">
        <v>70</v>
      </c>
      <c r="F12" s="7" t="s">
        <v>37</v>
      </c>
      <c r="G12" s="7" t="s">
        <v>90</v>
      </c>
      <c r="H12" s="7" t="s">
        <v>91</v>
      </c>
      <c r="I12" s="7" t="str">
        <f aca="false">IF("delete_file"="read_file","Matches intent","CONTRADICTED - action outside intent")</f>
        <v>CONTRADICTED - action outside intent</v>
      </c>
      <c r="J12" s="7" t="s">
        <v>40</v>
      </c>
      <c r="K12" s="7" t="s">
        <v>41</v>
      </c>
      <c r="L12" s="7" t="n">
        <v>374</v>
      </c>
    </row>
    <row r="13" customFormat="false" ht="15" hidden="false" customHeight="false" outlineLevel="0" collapsed="false">
      <c r="A13" s="7" t="s">
        <v>92</v>
      </c>
      <c r="B13" s="7" t="s">
        <v>93</v>
      </c>
      <c r="C13" s="7" t="s">
        <v>19</v>
      </c>
      <c r="D13" s="7" t="s">
        <v>69</v>
      </c>
      <c r="E13" s="7" t="s">
        <v>70</v>
      </c>
      <c r="F13" s="7" t="s">
        <v>44</v>
      </c>
      <c r="G13" s="7" t="s">
        <v>94</v>
      </c>
      <c r="H13" s="7" t="s">
        <v>95</v>
      </c>
      <c r="I13" s="7"/>
      <c r="J13" s="7" t="s">
        <v>40</v>
      </c>
      <c r="K13" s="7" t="s">
        <v>41</v>
      </c>
      <c r="L13" s="7" t="n">
        <v>375</v>
      </c>
    </row>
    <row r="14" customFormat="false" ht="35.05" hidden="false" customHeight="false" outlineLevel="0" collapsed="false">
      <c r="A14" s="7" t="s">
        <v>96</v>
      </c>
      <c r="B14" s="7" t="s">
        <v>97</v>
      </c>
      <c r="C14" s="7" t="s">
        <v>15</v>
      </c>
      <c r="D14" s="7" t="s">
        <v>69</v>
      </c>
      <c r="E14" s="7" t="s">
        <v>70</v>
      </c>
      <c r="F14" s="7" t="s">
        <v>50</v>
      </c>
      <c r="G14" s="7" t="s">
        <v>98</v>
      </c>
      <c r="H14" s="7" t="s">
        <v>99</v>
      </c>
      <c r="I14" s="7" t="str">
        <f aca="false">IF(5000&gt;4096,"Bloom filter","Exact list")</f>
        <v>Bloom filter</v>
      </c>
      <c r="J14" s="7" t="s">
        <v>40</v>
      </c>
      <c r="K14" s="7" t="s">
        <v>41</v>
      </c>
      <c r="L14" s="7" t="n">
        <v>376</v>
      </c>
    </row>
    <row r="15" customFormat="false" ht="23.85" hidden="false" customHeight="false" outlineLevel="0" collapsed="false">
      <c r="A15" s="7" t="s">
        <v>100</v>
      </c>
      <c r="B15" s="7" t="s">
        <v>101</v>
      </c>
      <c r="C15" s="7" t="s">
        <v>14</v>
      </c>
      <c r="D15" s="7" t="s">
        <v>69</v>
      </c>
      <c r="E15" s="7" t="s">
        <v>70</v>
      </c>
      <c r="F15" s="7" t="s">
        <v>44</v>
      </c>
      <c r="G15" s="7" t="s">
        <v>102</v>
      </c>
      <c r="H15" s="7" t="s">
        <v>103</v>
      </c>
      <c r="I15" s="7"/>
      <c r="J15" s="7" t="s">
        <v>40</v>
      </c>
      <c r="K15" s="7" t="s">
        <v>41</v>
      </c>
      <c r="L15" s="7" t="n">
        <v>377</v>
      </c>
    </row>
    <row r="16" customFormat="false" ht="35.05" hidden="false" customHeight="false" outlineLevel="0" collapsed="false">
      <c r="A16" s="7" t="s">
        <v>104</v>
      </c>
      <c r="B16" s="7" t="s">
        <v>105</v>
      </c>
      <c r="C16" s="7" t="s">
        <v>18</v>
      </c>
      <c r="D16" s="7" t="s">
        <v>69</v>
      </c>
      <c r="E16" s="7" t="s">
        <v>106</v>
      </c>
      <c r="F16" s="7" t="s">
        <v>107</v>
      </c>
      <c r="G16" s="7" t="s">
        <v>108</v>
      </c>
      <c r="H16" s="7" t="s">
        <v>109</v>
      </c>
      <c r="I16" s="7" t="str">
        <f aca="false">"verified "&amp;41&amp;", contradicted "&amp;2&amp;", unknown "&amp;7&amp;", coverage "&amp;TEXT(0.92,"0%")</f>
        <v>verified 41, contradicted 2, unknown 7, coverage 92%</v>
      </c>
      <c r="J16" s="7" t="s">
        <v>40</v>
      </c>
      <c r="K16" s="7" t="s">
        <v>41</v>
      </c>
      <c r="L16" s="7" t="n">
        <v>378</v>
      </c>
    </row>
    <row r="17" customFormat="false" ht="23.85" hidden="false" customHeight="false" outlineLevel="0" collapsed="false">
      <c r="A17" s="7" t="s">
        <v>110</v>
      </c>
      <c r="B17" s="7" t="s">
        <v>111</v>
      </c>
      <c r="C17" s="7" t="s">
        <v>18</v>
      </c>
      <c r="D17" s="7" t="s">
        <v>112</v>
      </c>
      <c r="E17" s="7" t="s">
        <v>113</v>
      </c>
      <c r="F17" s="7" t="s">
        <v>114</v>
      </c>
      <c r="G17" s="7" t="s">
        <v>115</v>
      </c>
      <c r="H17" s="7" t="s">
        <v>116</v>
      </c>
      <c r="I17" s="7"/>
      <c r="J17" s="7" t="s">
        <v>40</v>
      </c>
      <c r="K17" s="7" t="s">
        <v>41</v>
      </c>
      <c r="L17" s="7" t="n">
        <v>379</v>
      </c>
    </row>
    <row r="18" customFormat="false" ht="23.85" hidden="false" customHeight="false" outlineLevel="0" collapsed="false">
      <c r="A18" s="7" t="s">
        <v>117</v>
      </c>
      <c r="B18" s="7" t="s">
        <v>118</v>
      </c>
      <c r="C18" s="7" t="s">
        <v>16</v>
      </c>
      <c r="D18" s="7" t="s">
        <v>69</v>
      </c>
      <c r="E18" s="7" t="s">
        <v>119</v>
      </c>
      <c r="F18" s="7" t="s">
        <v>44</v>
      </c>
      <c r="G18" s="7" t="s">
        <v>120</v>
      </c>
      <c r="H18" s="7" t="s">
        <v>121</v>
      </c>
      <c r="I18" s="7" t="n">
        <f aca="false">ROUND((41+1)/((41+1)+(2+1)),3)</f>
        <v>0.933</v>
      </c>
      <c r="J18" s="7" t="s">
        <v>40</v>
      </c>
      <c r="K18" s="7" t="s">
        <v>122</v>
      </c>
      <c r="L18" s="7" t="n">
        <v>380</v>
      </c>
    </row>
    <row r="19" customFormat="false" ht="23.85" hidden="false" customHeight="false" outlineLevel="0" collapsed="false">
      <c r="A19" s="7" t="s">
        <v>123</v>
      </c>
      <c r="B19" s="7" t="s">
        <v>124</v>
      </c>
      <c r="C19" s="7" t="s">
        <v>19</v>
      </c>
      <c r="D19" s="7" t="s">
        <v>35</v>
      </c>
      <c r="E19" s="7" t="s">
        <v>36</v>
      </c>
      <c r="F19" s="7" t="s">
        <v>44</v>
      </c>
      <c r="G19" s="7" t="s">
        <v>125</v>
      </c>
      <c r="H19" s="7" t="s">
        <v>126</v>
      </c>
      <c r="I19" s="7"/>
      <c r="J19" s="7" t="s">
        <v>40</v>
      </c>
      <c r="K19" s="7" t="s">
        <v>122</v>
      </c>
      <c r="L19" s="7" t="n">
        <v>381</v>
      </c>
    </row>
  </sheetData>
  <autoFilter ref="A1:L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6"/>
    <col collapsed="false" customWidth="true" hidden="false" outlineLevel="0" max="6" min="6" style="0" width="24"/>
    <col collapsed="false" customWidth="true" hidden="false" outlineLevel="0" max="7" min="7" style="0" width="80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6" t="s">
        <v>21</v>
      </c>
      <c r="B1" s="6" t="s">
        <v>127</v>
      </c>
      <c r="C1" s="6" t="s">
        <v>128</v>
      </c>
      <c r="D1" s="6" t="s">
        <v>4</v>
      </c>
      <c r="E1" s="6" t="s">
        <v>129</v>
      </c>
      <c r="F1" s="6" t="s">
        <v>130</v>
      </c>
      <c r="G1" s="6" t="s">
        <v>131</v>
      </c>
      <c r="H1" s="6" t="s">
        <v>132</v>
      </c>
      <c r="I1" s="6" t="s">
        <v>133</v>
      </c>
      <c r="J1" s="6" t="s">
        <v>134</v>
      </c>
    </row>
    <row r="2" customFormat="false" ht="35.05" hidden="false" customHeight="false" outlineLevel="0" collapsed="false">
      <c r="A2" s="7" t="s">
        <v>135</v>
      </c>
      <c r="B2" s="7" t="s">
        <v>136</v>
      </c>
      <c r="C2" s="7" t="s">
        <v>137</v>
      </c>
      <c r="D2" s="7" t="s">
        <v>138</v>
      </c>
      <c r="E2" s="7" t="s">
        <v>69</v>
      </c>
      <c r="F2" s="7" t="s">
        <v>139</v>
      </c>
      <c r="G2" s="7" t="s">
        <v>140</v>
      </c>
      <c r="H2" s="7" t="s">
        <v>141</v>
      </c>
      <c r="I2" s="7" t="s">
        <v>142</v>
      </c>
      <c r="J2" s="7" t="s">
        <v>41</v>
      </c>
    </row>
    <row r="3" customFormat="false" ht="35.05" hidden="false" customHeight="false" outlineLevel="0" collapsed="false">
      <c r="A3" s="7" t="s">
        <v>143</v>
      </c>
      <c r="B3" s="7" t="s">
        <v>144</v>
      </c>
      <c r="C3" s="7" t="s">
        <v>145</v>
      </c>
      <c r="D3" s="7" t="s">
        <v>146</v>
      </c>
      <c r="E3" s="7" t="s">
        <v>69</v>
      </c>
      <c r="F3" s="7" t="s">
        <v>147</v>
      </c>
      <c r="G3" s="7" t="s">
        <v>148</v>
      </c>
      <c r="H3" s="7" t="s">
        <v>149</v>
      </c>
      <c r="I3" s="7" t="s">
        <v>150</v>
      </c>
      <c r="J3" s="7" t="s">
        <v>78</v>
      </c>
    </row>
    <row r="4" customFormat="false" ht="35.05" hidden="false" customHeight="false" outlineLevel="0" collapsed="false">
      <c r="A4" s="7" t="s">
        <v>151</v>
      </c>
      <c r="B4" s="7" t="s">
        <v>152</v>
      </c>
      <c r="C4" s="7" t="s">
        <v>153</v>
      </c>
      <c r="D4" s="7" t="s">
        <v>154</v>
      </c>
      <c r="E4" s="7" t="s">
        <v>69</v>
      </c>
      <c r="F4" s="7" t="s">
        <v>155</v>
      </c>
      <c r="G4" s="7" t="s">
        <v>156</v>
      </c>
      <c r="H4" s="7" t="s">
        <v>157</v>
      </c>
      <c r="I4" s="7" t="s">
        <v>150</v>
      </c>
      <c r="J4" s="7" t="s">
        <v>41</v>
      </c>
    </row>
    <row r="5" customFormat="false" ht="35.05" hidden="false" customHeight="false" outlineLevel="0" collapsed="false">
      <c r="A5" s="7" t="s">
        <v>158</v>
      </c>
      <c r="B5" s="7" t="s">
        <v>159</v>
      </c>
      <c r="C5" s="7" t="s">
        <v>160</v>
      </c>
      <c r="D5" s="7" t="s">
        <v>97</v>
      </c>
      <c r="E5" s="7" t="s">
        <v>69</v>
      </c>
      <c r="F5" s="7" t="s">
        <v>161</v>
      </c>
      <c r="G5" s="7" t="s">
        <v>162</v>
      </c>
      <c r="H5" s="7" t="s">
        <v>163</v>
      </c>
      <c r="I5" s="7" t="s">
        <v>150</v>
      </c>
      <c r="J5" s="7" t="s">
        <v>41</v>
      </c>
    </row>
    <row r="6" customFormat="false" ht="35.05" hidden="false" customHeight="false" outlineLevel="0" collapsed="false">
      <c r="A6" s="7" t="s">
        <v>164</v>
      </c>
      <c r="B6" s="7" t="s">
        <v>165</v>
      </c>
      <c r="C6" s="7" t="s">
        <v>166</v>
      </c>
      <c r="D6" s="7" t="s">
        <v>167</v>
      </c>
      <c r="E6" s="7" t="s">
        <v>69</v>
      </c>
      <c r="F6" s="7" t="s">
        <v>168</v>
      </c>
      <c r="G6" s="7" t="s">
        <v>169</v>
      </c>
      <c r="H6" s="7" t="s">
        <v>170</v>
      </c>
      <c r="I6" s="7" t="s">
        <v>150</v>
      </c>
      <c r="J6" s="7" t="s">
        <v>41</v>
      </c>
    </row>
    <row r="7" customFormat="false" ht="35.05" hidden="false" customHeight="false" outlineLevel="0" collapsed="false">
      <c r="A7" s="7" t="s">
        <v>171</v>
      </c>
      <c r="B7" s="7" t="s">
        <v>172</v>
      </c>
      <c r="C7" s="7" t="s">
        <v>173</v>
      </c>
      <c r="D7" s="7" t="s">
        <v>118</v>
      </c>
      <c r="E7" s="7" t="s">
        <v>69</v>
      </c>
      <c r="F7" s="7" t="s">
        <v>174</v>
      </c>
      <c r="G7" s="7" t="s">
        <v>175</v>
      </c>
      <c r="H7" s="7" t="s">
        <v>176</v>
      </c>
      <c r="I7" s="7" t="s">
        <v>150</v>
      </c>
      <c r="J7" s="7" t="s">
        <v>122</v>
      </c>
    </row>
  </sheetData>
  <autoFilter ref="A1:J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4" min="4" style="0" width="12"/>
  </cols>
  <sheetData>
    <row r="1" customFormat="false" ht="23.85" hidden="false" customHeight="false" outlineLevel="0" collapsed="false">
      <c r="A1" s="6" t="s">
        <v>177</v>
      </c>
      <c r="B1" s="6" t="s">
        <v>178</v>
      </c>
      <c r="C1" s="6" t="s">
        <v>129</v>
      </c>
      <c r="D1" s="6" t="s">
        <v>179</v>
      </c>
    </row>
    <row r="2" customFormat="false" ht="15" hidden="false" customHeight="false" outlineLevel="0" collapsed="false">
      <c r="A2" s="7" t="n">
        <v>100</v>
      </c>
      <c r="B2" s="7" t="s">
        <v>180</v>
      </c>
      <c r="C2" s="7" t="n">
        <v>1</v>
      </c>
      <c r="D2" s="7" t="n">
        <v>5600</v>
      </c>
    </row>
    <row r="3" customFormat="false" ht="15" hidden="false" customHeight="false" outlineLevel="0" collapsed="false">
      <c r="A3" s="7" t="n">
        <v>105</v>
      </c>
      <c r="B3" s="7" t="s">
        <v>181</v>
      </c>
      <c r="C3" s="7" t="n">
        <v>1</v>
      </c>
      <c r="D3" s="7" t="n">
        <v>5605</v>
      </c>
    </row>
    <row r="4" customFormat="false" ht="15" hidden="false" customHeight="false" outlineLevel="0" collapsed="false">
      <c r="A4" s="7" t="n">
        <v>110</v>
      </c>
      <c r="B4" s="7" t="s">
        <v>182</v>
      </c>
      <c r="C4" s="7" t="n">
        <v>1</v>
      </c>
      <c r="D4" s="7" t="n">
        <v>5610</v>
      </c>
    </row>
    <row r="5" customFormat="false" ht="15" hidden="false" customHeight="false" outlineLevel="0" collapsed="false">
      <c r="A5" s="7" t="n">
        <v>112</v>
      </c>
      <c r="B5" s="7" t="s">
        <v>183</v>
      </c>
      <c r="C5" s="7" t="n">
        <v>1</v>
      </c>
      <c r="D5" s="7" t="n">
        <v>5612</v>
      </c>
    </row>
    <row r="6" customFormat="false" ht="15" hidden="false" customHeight="false" outlineLevel="0" collapsed="false">
      <c r="A6" s="7" t="n">
        <v>114</v>
      </c>
      <c r="B6" s="7" t="s">
        <v>184</v>
      </c>
      <c r="C6" s="7" t="n">
        <v>1</v>
      </c>
      <c r="D6" s="7" t="n">
        <v>5614</v>
      </c>
    </row>
    <row r="7" customFormat="false" ht="15" hidden="false" customHeight="false" outlineLevel="0" collapsed="false">
      <c r="A7" s="7" t="n">
        <v>116</v>
      </c>
      <c r="B7" s="7" t="s">
        <v>185</v>
      </c>
      <c r="C7" s="7" t="n">
        <v>1</v>
      </c>
      <c r="D7" s="7" t="n">
        <v>5616</v>
      </c>
    </row>
    <row r="8" customFormat="false" ht="15" hidden="false" customHeight="false" outlineLevel="0" collapsed="false">
      <c r="A8" s="7" t="n">
        <v>118</v>
      </c>
      <c r="B8" s="7" t="s">
        <v>186</v>
      </c>
      <c r="C8" s="7" t="n">
        <v>1</v>
      </c>
      <c r="D8" s="7" t="n">
        <v>5618</v>
      </c>
    </row>
    <row r="9" customFormat="false" ht="15" hidden="false" customHeight="false" outlineLevel="0" collapsed="false">
      <c r="A9" s="7" t="n">
        <v>120</v>
      </c>
      <c r="B9" s="7" t="s">
        <v>187</v>
      </c>
      <c r="C9" s="7" t="n">
        <v>1</v>
      </c>
      <c r="D9" s="7" t="n">
        <v>5620</v>
      </c>
    </row>
    <row r="10" customFormat="false" ht="15" hidden="false" customHeight="false" outlineLevel="0" collapsed="false">
      <c r="A10" s="7" t="n">
        <v>122</v>
      </c>
      <c r="B10" s="7" t="s">
        <v>188</v>
      </c>
      <c r="C10" s="7" t="n">
        <v>1</v>
      </c>
      <c r="D10" s="7" t="n">
        <v>5622</v>
      </c>
    </row>
    <row r="11" customFormat="false" ht="15" hidden="false" customHeight="false" outlineLevel="0" collapsed="false">
      <c r="A11" s="7" t="n">
        <v>124</v>
      </c>
      <c r="B11" s="7" t="s">
        <v>189</v>
      </c>
      <c r="C11" s="7" t="n">
        <v>1</v>
      </c>
      <c r="D11" s="7" t="n">
        <v>5624</v>
      </c>
    </row>
    <row r="12" customFormat="false" ht="15" hidden="false" customHeight="false" outlineLevel="0" collapsed="false">
      <c r="A12" s="7" t="n">
        <v>126</v>
      </c>
      <c r="B12" s="7" t="s">
        <v>190</v>
      </c>
      <c r="C12" s="7" t="n">
        <v>1</v>
      </c>
      <c r="D12" s="7" t="n">
        <v>5626</v>
      </c>
    </row>
    <row r="13" customFormat="false" ht="15" hidden="false" customHeight="false" outlineLevel="0" collapsed="false">
      <c r="A13" s="7" t="n">
        <v>130</v>
      </c>
      <c r="B13" s="7" t="s">
        <v>191</v>
      </c>
      <c r="C13" s="7" t="n">
        <v>1</v>
      </c>
      <c r="D13" s="7" t="n">
        <v>5630</v>
      </c>
    </row>
    <row r="14" customFormat="false" ht="15" hidden="false" customHeight="false" outlineLevel="0" collapsed="false">
      <c r="A14" s="7" t="n">
        <v>140</v>
      </c>
      <c r="B14" s="7" t="s">
        <v>192</v>
      </c>
      <c r="C14" s="7" t="n">
        <v>1</v>
      </c>
      <c r="D14" s="7" t="n">
        <v>5640</v>
      </c>
    </row>
    <row r="15" customFormat="false" ht="15" hidden="false" customHeight="false" outlineLevel="0" collapsed="false">
      <c r="A15" s="7" t="n">
        <v>150</v>
      </c>
      <c r="B15" s="7" t="s">
        <v>193</v>
      </c>
      <c r="C15" s="7" t="n">
        <v>1</v>
      </c>
      <c r="D15" s="7" t="n">
        <v>5650</v>
      </c>
    </row>
    <row r="16" customFormat="false" ht="15" hidden="false" customHeight="false" outlineLevel="0" collapsed="false">
      <c r="A16" s="7" t="n">
        <v>160</v>
      </c>
      <c r="B16" s="7" t="s">
        <v>194</v>
      </c>
      <c r="C16" s="7" t="n">
        <v>1</v>
      </c>
      <c r="D16" s="7" t="n">
        <v>5660</v>
      </c>
    </row>
    <row r="17" customFormat="false" ht="15" hidden="false" customHeight="false" outlineLevel="0" collapsed="false">
      <c r="A17" s="7" t="n">
        <v>170</v>
      </c>
      <c r="B17" s="7" t="s">
        <v>195</v>
      </c>
      <c r="C17" s="7" t="n">
        <v>1</v>
      </c>
      <c r="D17" s="7" t="n">
        <v>5670</v>
      </c>
    </row>
    <row r="18" customFormat="false" ht="15" hidden="false" customHeight="false" outlineLevel="0" collapsed="false">
      <c r="A18" s="7" t="n">
        <v>200</v>
      </c>
      <c r="B18" s="7" t="s">
        <v>196</v>
      </c>
      <c r="C18" s="7" t="n">
        <v>2</v>
      </c>
      <c r="D18" s="7" t="n">
        <v>5700</v>
      </c>
    </row>
    <row r="19" customFormat="false" ht="15" hidden="false" customHeight="false" outlineLevel="0" collapsed="false">
      <c r="A19" s="7" t="n">
        <v>205</v>
      </c>
      <c r="B19" s="7" t="s">
        <v>197</v>
      </c>
      <c r="C19" s="7" t="n">
        <v>2</v>
      </c>
      <c r="D19" s="7" t="n">
        <v>5705</v>
      </c>
    </row>
    <row r="20" customFormat="false" ht="15" hidden="false" customHeight="false" outlineLevel="0" collapsed="false">
      <c r="A20" s="7" t="n">
        <v>206</v>
      </c>
      <c r="B20" s="7" t="s">
        <v>198</v>
      </c>
      <c r="C20" s="7" t="n">
        <v>2</v>
      </c>
      <c r="D20" s="7" t="n">
        <v>5706</v>
      </c>
    </row>
    <row r="21" customFormat="false" ht="15" hidden="false" customHeight="false" outlineLevel="0" collapsed="false">
      <c r="A21" s="7" t="n">
        <v>210</v>
      </c>
      <c r="B21" s="7" t="s">
        <v>199</v>
      </c>
      <c r="C21" s="7" t="n">
        <v>2</v>
      </c>
      <c r="D21" s="7" t="n">
        <v>5710</v>
      </c>
    </row>
    <row r="22" customFormat="false" ht="15" hidden="false" customHeight="false" outlineLevel="0" collapsed="false">
      <c r="A22" s="7" t="n">
        <v>220</v>
      </c>
      <c r="B22" s="7" t="s">
        <v>200</v>
      </c>
      <c r="C22" s="7" t="n">
        <v>2</v>
      </c>
      <c r="D22" s="7" t="n">
        <v>5720</v>
      </c>
    </row>
    <row r="23" customFormat="false" ht="15" hidden="false" customHeight="false" outlineLevel="0" collapsed="false">
      <c r="A23" s="7" t="n">
        <v>225</v>
      </c>
      <c r="B23" s="7" t="s">
        <v>201</v>
      </c>
      <c r="C23" s="7" t="n">
        <v>2</v>
      </c>
      <c r="D23" s="7" t="n">
        <v>5725</v>
      </c>
    </row>
    <row r="24" customFormat="false" ht="15" hidden="false" customHeight="false" outlineLevel="0" collapsed="false">
      <c r="A24" s="7" t="n">
        <v>231</v>
      </c>
      <c r="B24" s="7" t="s">
        <v>202</v>
      </c>
      <c r="C24" s="7" t="n">
        <v>2</v>
      </c>
      <c r="D24" s="7" t="n">
        <v>5731</v>
      </c>
    </row>
    <row r="25" customFormat="false" ht="15" hidden="false" customHeight="false" outlineLevel="0" collapsed="false">
      <c r="A25" s="7" t="n">
        <v>232</v>
      </c>
      <c r="B25" s="7" t="s">
        <v>203</v>
      </c>
      <c r="C25" s="7" t="n">
        <v>2</v>
      </c>
      <c r="D25" s="7" t="n">
        <v>5732</v>
      </c>
    </row>
    <row r="26" customFormat="false" ht="15" hidden="false" customHeight="false" outlineLevel="0" collapsed="false">
      <c r="A26" s="7" t="n">
        <v>233</v>
      </c>
      <c r="B26" s="7" t="s">
        <v>204</v>
      </c>
      <c r="C26" s="7" t="n">
        <v>2</v>
      </c>
      <c r="D26" s="7" t="n">
        <v>5733</v>
      </c>
    </row>
    <row r="27" customFormat="false" ht="15" hidden="false" customHeight="false" outlineLevel="0" collapsed="false">
      <c r="A27" s="7" t="n">
        <v>240</v>
      </c>
      <c r="B27" s="7" t="s">
        <v>205</v>
      </c>
      <c r="C27" s="7" t="n">
        <v>2</v>
      </c>
      <c r="D27" s="7" t="n">
        <v>5740</v>
      </c>
    </row>
    <row r="28" customFormat="false" ht="15" hidden="false" customHeight="false" outlineLevel="0" collapsed="false">
      <c r="A28" s="7" t="n">
        <v>245</v>
      </c>
      <c r="B28" s="7" t="s">
        <v>206</v>
      </c>
      <c r="C28" s="7" t="n">
        <v>2</v>
      </c>
      <c r="D28" s="7" t="n">
        <v>5745</v>
      </c>
    </row>
    <row r="29" customFormat="false" ht="15" hidden="false" customHeight="false" outlineLevel="0" collapsed="false">
      <c r="A29" s="7" t="n">
        <v>250</v>
      </c>
      <c r="B29" s="7" t="s">
        <v>207</v>
      </c>
      <c r="C29" s="7" t="n">
        <v>2</v>
      </c>
      <c r="D29" s="7" t="n">
        <v>5750</v>
      </c>
    </row>
    <row r="30" customFormat="false" ht="15" hidden="false" customHeight="false" outlineLevel="0" collapsed="false">
      <c r="A30" s="7" t="n">
        <v>270</v>
      </c>
      <c r="B30" s="7" t="s">
        <v>105</v>
      </c>
      <c r="C30" s="7" t="n">
        <v>2</v>
      </c>
      <c r="D30" s="7" t="n">
        <v>5770</v>
      </c>
    </row>
    <row r="31" customFormat="false" ht="15" hidden="false" customHeight="false" outlineLevel="0" collapsed="false">
      <c r="A31" s="7" t="n">
        <v>280</v>
      </c>
      <c r="B31" s="7" t="s">
        <v>208</v>
      </c>
      <c r="C31" s="7" t="n">
        <v>2</v>
      </c>
      <c r="D31" s="7" t="n">
        <v>5780</v>
      </c>
    </row>
    <row r="32" customFormat="false" ht="15" hidden="false" customHeight="false" outlineLevel="0" collapsed="false">
      <c r="A32" s="7" t="n">
        <v>290</v>
      </c>
      <c r="B32" s="7" t="s">
        <v>160</v>
      </c>
      <c r="C32" s="7" t="n">
        <v>2</v>
      </c>
      <c r="D32" s="7" t="n">
        <v>5790</v>
      </c>
    </row>
    <row r="33" customFormat="false" ht="15" hidden="false" customHeight="false" outlineLevel="0" collapsed="false">
      <c r="A33" s="7" t="n">
        <v>295</v>
      </c>
      <c r="B33" s="7" t="s">
        <v>209</v>
      </c>
      <c r="C33" s="7" t="n">
        <v>2</v>
      </c>
      <c r="D33" s="7" t="n">
        <v>5795</v>
      </c>
    </row>
  </sheetData>
  <autoFilter ref="A1:D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60"/>
  </cols>
  <sheetData>
    <row r="1" customFormat="false" ht="23.85" hidden="false" customHeight="false" outlineLevel="0" collapsed="false">
      <c r="A1" s="6" t="s">
        <v>210</v>
      </c>
      <c r="B1" s="6" t="s">
        <v>211</v>
      </c>
      <c r="C1" s="6" t="s">
        <v>212</v>
      </c>
      <c r="D1" s="6" t="s">
        <v>213</v>
      </c>
      <c r="E1" s="6" t="s">
        <v>4</v>
      </c>
    </row>
    <row r="2" customFormat="false" ht="15" hidden="false" customHeight="false" outlineLevel="0" collapsed="false">
      <c r="A2" s="7" t="n">
        <v>1</v>
      </c>
      <c r="B2" s="7" t="s">
        <v>214</v>
      </c>
      <c r="C2" s="7"/>
      <c r="D2" s="7" t="n">
        <v>355</v>
      </c>
      <c r="E2" s="7" t="s">
        <v>215</v>
      </c>
    </row>
    <row r="3" customFormat="false" ht="15" hidden="false" customHeight="false" outlineLevel="0" collapsed="false">
      <c r="A3" s="7" t="n">
        <v>2</v>
      </c>
      <c r="B3" s="7" t="s">
        <v>216</v>
      </c>
      <c r="C3" s="7" t="n">
        <v>1</v>
      </c>
      <c r="D3" s="7" t="n">
        <v>356</v>
      </c>
      <c r="E3" s="7" t="s">
        <v>79</v>
      </c>
    </row>
    <row r="4" customFormat="false" ht="15" hidden="false" customHeight="false" outlineLevel="0" collapsed="false">
      <c r="A4" s="7" t="n">
        <v>3</v>
      </c>
      <c r="B4" s="7" t="s">
        <v>216</v>
      </c>
      <c r="C4" s="7" t="n">
        <v>1</v>
      </c>
      <c r="D4" s="7" t="n">
        <v>357</v>
      </c>
      <c r="E4" s="7" t="s">
        <v>217</v>
      </c>
    </row>
    <row r="5" customFormat="false" ht="15" hidden="false" customHeight="false" outlineLevel="0" collapsed="false">
      <c r="A5" s="7" t="n">
        <v>4</v>
      </c>
      <c r="B5" s="7" t="s">
        <v>216</v>
      </c>
      <c r="C5" s="7" t="n">
        <v>1</v>
      </c>
      <c r="D5" s="7" t="n">
        <v>358</v>
      </c>
      <c r="E5" s="7" t="s">
        <v>96</v>
      </c>
    </row>
    <row r="6" customFormat="false" ht="15" hidden="false" customHeight="false" outlineLevel="0" collapsed="false">
      <c r="A6" s="7" t="n">
        <v>5</v>
      </c>
      <c r="B6" s="7" t="s">
        <v>216</v>
      </c>
      <c r="C6" s="7" t="n">
        <v>1</v>
      </c>
      <c r="D6" s="7" t="n">
        <v>359</v>
      </c>
      <c r="E6" s="7" t="s">
        <v>100</v>
      </c>
    </row>
    <row r="7" customFormat="false" ht="15" hidden="false" customHeight="false" outlineLevel="0" collapsed="false">
      <c r="A7" s="7" t="n">
        <v>6</v>
      </c>
      <c r="B7" s="7" t="s">
        <v>216</v>
      </c>
      <c r="C7" s="7" t="n">
        <v>1</v>
      </c>
      <c r="D7" s="7" t="n">
        <v>360</v>
      </c>
      <c r="E7" s="7" t="s">
        <v>63</v>
      </c>
    </row>
    <row r="8" customFormat="false" ht="15" hidden="false" customHeight="false" outlineLevel="0" collapsed="false">
      <c r="A8" s="7" t="n">
        <v>7</v>
      </c>
      <c r="B8" s="7" t="s">
        <v>216</v>
      </c>
      <c r="C8" s="7" t="n">
        <v>1</v>
      </c>
      <c r="D8" s="7" t="n">
        <v>361</v>
      </c>
      <c r="E8" s="7" t="s">
        <v>218</v>
      </c>
    </row>
    <row r="9" customFormat="false" ht="15" hidden="false" customHeight="false" outlineLevel="0" collapsed="false">
      <c r="A9" s="7" t="n">
        <v>8</v>
      </c>
      <c r="B9" s="7" t="s">
        <v>216</v>
      </c>
      <c r="C9" s="7" t="n">
        <v>1</v>
      </c>
      <c r="D9" s="7" t="n">
        <v>362</v>
      </c>
      <c r="E9" s="7" t="s">
        <v>83</v>
      </c>
    </row>
    <row r="10" customFormat="false" ht="15" hidden="false" customHeight="false" outlineLevel="0" collapsed="false">
      <c r="A10" s="7" t="n">
        <v>9</v>
      </c>
      <c r="B10" s="7" t="s">
        <v>216</v>
      </c>
      <c r="C10" s="7" t="n">
        <v>1</v>
      </c>
      <c r="D10" s="7" t="n">
        <v>363</v>
      </c>
      <c r="E10" s="7" t="s">
        <v>219</v>
      </c>
    </row>
    <row r="11" customFormat="false" ht="15" hidden="false" customHeight="false" outlineLevel="0" collapsed="false">
      <c r="A11" s="7" t="n">
        <v>10</v>
      </c>
      <c r="B11" s="7" t="s">
        <v>216</v>
      </c>
      <c r="C11" s="7" t="n">
        <v>1</v>
      </c>
      <c r="D11" s="7" t="n">
        <v>364</v>
      </c>
      <c r="E11" s="7" t="s">
        <v>104</v>
      </c>
    </row>
    <row r="12" customFormat="false" ht="15" hidden="false" customHeight="false" outlineLevel="0" collapsed="false">
      <c r="A12" s="7" t="n">
        <v>11</v>
      </c>
      <c r="B12" s="7" t="s">
        <v>220</v>
      </c>
      <c r="C12" s="7" t="s">
        <v>221</v>
      </c>
      <c r="D12" s="7" t="n">
        <v>365</v>
      </c>
      <c r="E12" s="7" t="s">
        <v>222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2026-10-09T18:34:41Z</dcterms:created>
  <dc:creator>openpyxl</dc:creator>
  <dc:description/>
  <dc:language>en-US</dc:language>
  <cp:lastModifiedBy/>
  <dcterms:modified xsi:type="dcterms:W3CDTF">2026-10-09T18:34:41Z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