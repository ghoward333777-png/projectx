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ature Registry v65" sheetId="1" state="visible" r:id="rId1"/>
    <sheet name="Registry Recor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3"/>
    </font>
  </fonts>
  <fills count="3">
    <fill>
      <patternFill/>
    </fill>
    <fill>
      <patternFill patternType="gray125"/>
    </fill>
    <fill>
      <patternFill patternType="solid">
        <fgColor rgb="002F53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4"/>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4" customWidth="1" min="3" max="3"/>
    <col width="16" customWidth="1" min="4" max="4"/>
    <col width="60" customWidth="1" min="5" max="5"/>
    <col width="50" customWidth="1" min="6" max="6"/>
    <col width="40" customWidth="1" min="7" max="7"/>
  </cols>
  <sheetData>
    <row r="1">
      <c r="A1" s="1" t="inlineStr">
        <is>
          <t>No.</t>
        </is>
      </c>
      <c r="B1" s="1" t="inlineStr">
        <is>
          <t>Feature</t>
        </is>
      </c>
      <c r="C1" s="1" t="inlineStr">
        <is>
          <t>Domain</t>
        </is>
      </c>
      <c r="D1" s="1" t="inlineStr">
        <is>
          <t>Citation</t>
        </is>
      </c>
      <c r="E1" s="1" t="inlineStr">
        <is>
          <t>Function</t>
        </is>
      </c>
      <c r="F1" s="1" t="inlineStr">
        <is>
          <t>Rule</t>
        </is>
      </c>
      <c r="G1" s="1" t="inlineStr">
        <is>
          <t>Worked expression</t>
        </is>
      </c>
    </row>
    <row r="2">
      <c r="A2" s="2" t="n">
        <v>1</v>
      </c>
      <c r="B2" s="2" t="inlineStr">
        <is>
          <t>Standard Q&amp;A</t>
        </is>
      </c>
      <c r="C2" s="2" t="inlineStr">
        <is>
          <t>Retrieval &amp; Response</t>
        </is>
      </c>
      <c r="D2" s="2" t="inlineStr">
        <is>
          <t>§52.13.2</t>
        </is>
      </c>
      <c r="E2" s="2" t="inlineStr">
        <is>
          <t>User-facing§52.13.2Reader Parse the query, retrieve candidate Fact Units via the Associative Recall Engine, run the Attractor Network to stabilize the candidate set, compose a response through the Narrative Graph's grounded-generation pipeline, deliver.</t>
        </is>
      </c>
      <c r="F2" s="2" t="inlineStr">
        <is>
          <t>Retrieval confidence must clear a minimum threshold before a Fact Unit is offered as grounding.</t>
        </is>
      </c>
      <c r="G2" s="2">
        <f>IF(0.62&gt;=0.5,"Included as Grounding","Excluded")</f>
        <v/>
      </c>
    </row>
    <row r="3">
      <c r="A3" s="2" t="n">
        <v>2</v>
      </c>
      <c r="B3" s="2" t="inlineStr">
        <is>
          <t>Guided Exploration</t>
        </is>
      </c>
      <c r="C3" s="2" t="inlineStr">
        <is>
          <t>Retrieval &amp; Response</t>
        </is>
      </c>
      <c r="D3" s="2" t="inlineStr">
        <is>
          <t>§52.13.2</t>
        </is>
      </c>
      <c r="E3" s="2" t="inlineStr">
        <is>
          <t>User-facing§52.13.2Reader As Standard Q&amp;A, but each turn's candidate retrieval is conditioned on the accumulated Cognitive Context Window from prior turns rather than the query alone.</t>
        </is>
      </c>
      <c r="F3" s="2" t="inlineStr">
        <is>
          <t>Context weight decays with turn distance; a fact from 5 turns ago counts less than one from the last turn.</t>
        </is>
      </c>
      <c r="G3" s="2">
        <f>1/(1+2)</f>
        <v/>
      </c>
    </row>
    <row r="4">
      <c r="A4" s="2" t="n">
        <v>3</v>
      </c>
      <c r="B4" s="2" t="inlineStr">
        <is>
          <t>Discussion Mode</t>
        </is>
      </c>
      <c r="C4" s="2" t="inlineStr">
        <is>
          <t>Retrieval &amp; Response</t>
        </is>
      </c>
      <c r="D4" s="2" t="inlineStr">
        <is>
          <t>§52.13.3</t>
        </is>
      </c>
      <c r="E4" s="2" t="inlineStr">
        <is>
          <t>User-facing§52.13.3Reader / Researcher Retrieve Fact Units as in Standard Q&amp;A; adopt a text-grounded viewpoint only where the source material's groundedness for that viewpoint clears a threshold.</t>
        </is>
      </c>
      <c r="F4" s="2" t="inlineStr">
        <is>
          <t>Viewpoint adoption is gated on a groundedness score exceeding a fixed threshold.</t>
        </is>
      </c>
      <c r="G4" s="2">
        <f>IF(0.8&gt;0.6,"Adopt Viewpoint","Retrieve Only")</f>
        <v/>
      </c>
    </row>
    <row r="5">
      <c r="A5" s="2" t="n">
        <v>4</v>
      </c>
      <c r="B5" s="2" t="inlineStr">
        <is>
          <t>Tutorial Mode</t>
        </is>
      </c>
      <c r="C5" s="2" t="inlineStr">
        <is>
          <t>Retrieval &amp; Response</t>
        </is>
      </c>
      <c r="D5" s="2" t="inlineStr">
        <is>
          <t>§52.13.2</t>
        </is>
      </c>
      <c r="E5" s="2" t="inlineStr">
        <is>
          <t>User-facing§52.13.2Student Sequence a book's Fact Units into ordered instructional steps of increasing difficulty.</t>
        </is>
      </c>
      <c r="F5" s="2" t="inlineStr">
        <is>
          <t>Steps are ordered by a difficulty rank; a step's position is its rank among all steps.</t>
        </is>
      </c>
      <c r="G5" s="2">
        <f>RANK(3,{1,2,3,4,5})</f>
        <v/>
      </c>
    </row>
    <row r="6">
      <c r="A6" s="2" t="n">
        <v>5</v>
      </c>
      <c r="B6" s="2" t="inlineStr">
        <is>
          <t>Comprehension Check</t>
        </is>
      </c>
      <c r="C6" s="2" t="inlineStr">
        <is>
          <t>Learning &amp; Assessment</t>
        </is>
      </c>
      <c r="D6" s="2" t="inlineStr">
        <is>
          <t>§52.13.2</t>
        </is>
      </c>
      <c r="E6" s="2" t="inlineStr">
        <is>
          <t>User-facing§52.13.2Student Generate a question from a target Fact Unit; compare a submitted answer's semantic similarity against that Fact Unit's content; correct if similarity clears a threshold.</t>
        </is>
      </c>
      <c r="F6" s="2" t="inlineStr">
        <is>
          <t>Answer correctness is a threshold comparison on a semantic-similarity score.</t>
        </is>
      </c>
      <c r="G6" s="2">
        <f>IF(0.87&gt;=0.75,"Correct","Incorrect")</f>
        <v/>
      </c>
    </row>
    <row r="7">
      <c r="A7" s="2" t="n">
        <v>6</v>
      </c>
      <c r="B7" s="2" t="inlineStr">
        <is>
          <t>Semantic Exploration</t>
        </is>
      </c>
      <c r="C7" s="2" t="inlineStr">
        <is>
          <t>Retrieval &amp; Response</t>
        </is>
      </c>
      <c r="D7" s="2" t="inlineStr">
        <is>
          <t>§52.13.2</t>
        </is>
      </c>
      <c r="E7" s="2" t="inlineStr">
        <is>
          <t>User-facing§52.13.2Reader / Researcher Traverse the Ontology Mesh outward from a starting node, surfacing connected nodes ranked by relationship strength.</t>
        </is>
      </c>
      <c r="F7" s="2" t="inlineStr">
        <is>
          <t>Neighbors are included only above a relationship-strength threshold.</t>
        </is>
      </c>
      <c r="G7" s="2">
        <f>IF(0.55&gt;=0.4,"Include Neighbor","Exclude")</f>
        <v/>
      </c>
    </row>
    <row r="8">
      <c r="A8" s="2" t="n">
        <v>7</v>
      </c>
      <c r="B8" s="2" t="inlineStr">
        <is>
          <t>Timeline Reconstruction</t>
        </is>
      </c>
      <c r="C8" s="2" t="inlineStr">
        <is>
          <t>Retrieval &amp; Response</t>
        </is>
      </c>
      <c r="D8" s="2" t="inlineStr">
        <is>
          <t>§52.13.2</t>
        </is>
      </c>
      <c r="E8" s="2" t="inlineStr">
        <is>
          <t>User-facing§52.13.2Reader Extract TemporalAnchor fields from a book's Fact Units and order them chronologically.</t>
        </is>
      </c>
      <c r="F8" s="2" t="inlineStr">
        <is>
          <t>Chronological ordering is a pairwise date comparison.</t>
        </is>
      </c>
      <c r="G8" s="2">
        <f>IF(DATE(1848,3,14)&lt;DATE(1849,1,1),"Event A First","Event B First")</f>
        <v/>
      </c>
    </row>
    <row r="9">
      <c r="A9" s="2" t="n">
        <v>8</v>
      </c>
      <c r="B9" s="2" t="inlineStr">
        <is>
          <t>Edition Comparison</t>
        </is>
      </c>
      <c r="C9" s="2" t="inlineStr">
        <is>
          <t>Retrieval &amp; Response</t>
        </is>
      </c>
      <c r="D9" s="2" t="inlineStr">
        <is>
          <t>§52.13.2</t>
        </is>
      </c>
      <c r="E9" s="2" t="inlineStr">
        <is>
          <t>User-facing§52.13.2Reader Diff the VersionChain entries of two edition-tagged Fact Unit sets, surfacing additions, removals, and changes.</t>
        </is>
      </c>
      <c r="F9" s="2" t="inlineStr">
        <is>
          <t>A field differs between editions if its two values are unequal.</t>
        </is>
      </c>
      <c r="G9" s="2">
        <f>IF("v2 text"&lt;&gt;"v1 text","Changed","Same")</f>
        <v/>
      </c>
    </row>
    <row r="10">
      <c r="A10" s="2" t="n">
        <v>9</v>
      </c>
      <c r="B10" s="2" t="inlineStr">
        <is>
          <t>Flashcard Generation</t>
        </is>
      </c>
      <c r="C10" s="2" t="inlineStr">
        <is>
          <t>Retrieval &amp; Response</t>
        </is>
      </c>
      <c r="D10" s="2" t="inlineStr">
        <is>
          <t>§52.13.2.1</t>
        </is>
      </c>
      <c r="E10" s="2" t="inlineStr">
        <is>
          <t>User-facing§52.13.2.1Student Select a Fact Unit, derive a question/answer pair from its content and SupportingFactUnits, format as a citing study card.</t>
        </is>
      </c>
      <c r="F10" s="2" t="inlineStr">
        <is>
          <t>Structural rule: One flashcard derives from exactly one Fact Unit; a card spanning two Fact Units is not generated.</t>
        </is>
      </c>
      <c r="G10" s="2" t="inlineStr"/>
    </row>
    <row r="11">
      <c r="A11" s="2" t="n">
        <v>10</v>
      </c>
      <c r="B11" s="2" t="inlineStr">
        <is>
          <t>Fact Graph Visualization</t>
        </is>
      </c>
      <c r="C11" s="2" t="inlineStr">
        <is>
          <t>Interaction Surfaces</t>
        </is>
      </c>
      <c r="D11" s="2" t="inlineStr">
        <is>
          <t>§52.13.2.2</t>
        </is>
      </c>
      <c r="E11" s="2" t="inlineStr">
        <is>
          <t>User-facing§52.13.2.2Researcher Render Ontology Mesh nodes and edges for a given scope as an explicit graph structure.</t>
        </is>
      </c>
      <c r="F11" s="2" t="inlineStr">
        <is>
          <t>Structural rule: The rendered graph contains exactly the nodes and edges within the requester's scope description; no node is drawn that traversal would not return.</t>
        </is>
      </c>
      <c r="G11" s="2" t="inlineStr"/>
    </row>
    <row r="12">
      <c r="A12" s="2" t="n">
        <v>11</v>
      </c>
      <c r="B12" s="2" t="inlineStr">
        <is>
          <t>Inline Fact Previews</t>
        </is>
      </c>
      <c r="C12" s="2" t="inlineStr">
        <is>
          <t>Interaction Surfaces</t>
        </is>
      </c>
      <c r="D12" s="2" t="inlineStr">
        <is>
          <t>§52.13.2.2</t>
        </is>
      </c>
      <c r="E12" s="2" t="inlineStr">
        <is>
          <t>User-facing§52.13.2.2Reader On hover/tap of a cited fact reference, retrieve and display that Fact Unit's summary without a new query round-trip.</t>
        </is>
      </c>
      <c r="F12" s="2" t="inlineStr">
        <is>
          <t>Structural rule: A preview resolves the cited Fact Unit already retrieved for the response; it issues no new query and can surface no record the response did not cite.</t>
        </is>
      </c>
      <c r="G12" s="2" t="inlineStr"/>
    </row>
    <row r="13">
      <c r="A13" s="2" t="n">
        <v>12</v>
      </c>
      <c r="B13" s="2" t="inlineStr">
        <is>
          <t>Contextual Footnotes</t>
        </is>
      </c>
      <c r="C13" s="2" t="inlineStr">
        <is>
          <t>Interaction Surfaces</t>
        </is>
      </c>
      <c r="D13" s="2" t="inlineStr">
        <is>
          <t>§52.13.2.1</t>
        </is>
      </c>
      <c r="E13" s="2" t="inlineStr">
        <is>
          <t>User-facing§52.13.2.1Reader Attach a Fact Unit's supplementary detail as an inline, dismissible footnote at its citation point.</t>
        </is>
      </c>
      <c r="F13" s="2" t="inlineStr">
        <is>
          <t>Structural rule: A footnote attaches at the citation point of the Fact Unit it elaborates and is dismissible without altering the response body.</t>
        </is>
      </c>
      <c r="G13" s="2" t="inlineStr"/>
    </row>
    <row r="14">
      <c r="A14" s="2" t="n">
        <v>13</v>
      </c>
      <c r="B14" s="2" t="inlineStr">
        <is>
          <t>Personal Notes</t>
        </is>
      </c>
      <c r="C14" s="2" t="inlineStr">
        <is>
          <t>Interaction Surfaces</t>
        </is>
      </c>
      <c r="D14" s="2" t="inlineStr">
        <is>
          <t>Chapter 63</t>
        </is>
      </c>
      <c r="E14" s="2" t="inlineStr">
        <is>
          <t>User-facingChapter 63Reader Store reader-authored text as a Fact Unit with AccessControlList restricted to the authoring reader alone.</t>
        </is>
      </c>
      <c r="F14" s="2" t="inlineStr">
        <is>
          <t>Access is granted only when the requester's identity matches the note's owner.</t>
        </is>
      </c>
      <c r="G14" s="2">
        <f>IF("reader_42"="reader_42","Access Granted","Denied")</f>
        <v/>
      </c>
    </row>
    <row r="15">
      <c r="A15" s="2" t="n">
        <v>14</v>
      </c>
      <c r="B15" s="2" t="inlineStr">
        <is>
          <t>Social Annotations</t>
        </is>
      </c>
      <c r="C15" s="2" t="inlineStr">
        <is>
          <t>Interaction Surfaces</t>
        </is>
      </c>
      <c r="D15" s="2" t="inlineStr">
        <is>
          <t>§52.13.2.1</t>
        </is>
      </c>
      <c r="E15" s="2" t="inlineStr">
        <is>
          <t>User-facing§52.13.2.1 / Ch63Reader As Personal Notes, but AccessControlList defaults to author-configured sharing rather than reader-private.</t>
        </is>
      </c>
      <c r="F15" s="2" t="inlineStr">
        <is>
          <t>Visibility depends on a sharing flag rather than strict owner-match.</t>
        </is>
      </c>
      <c r="G15" s="2">
        <f>IF(TRUE(),"Visible to Others","Private")</f>
        <v/>
      </c>
    </row>
    <row r="16">
      <c r="A16" s="2" t="n">
        <v>15</v>
      </c>
      <c r="B16" s="2" t="inlineStr">
        <is>
          <t>Message Boards</t>
        </is>
      </c>
      <c r="C16" s="2" t="inlineStr">
        <is>
          <t>Interaction Surfaces</t>
        </is>
      </c>
      <c r="D16" s="2" t="inlineStr">
        <is>
          <t>Chapter 64</t>
        </is>
      </c>
      <c r="E16" s="2" t="inlineStr">
        <is>
          <t>User-facingChapter 64Reader / Author Route a post into one of four board-type partitions per the poster's role; apply moderation-action checks on write.</t>
        </is>
      </c>
      <c r="F16" s="2" t="inlineStr">
        <is>
          <t>Board partition is selected from a fixed enumeration by type index.</t>
        </is>
      </c>
      <c r="G16" s="2">
        <f>CHOOSE(2,"Book-Wide","Chapter","Class","Announcement")</f>
        <v/>
      </c>
    </row>
    <row r="17">
      <c r="A17" s="2" t="n">
        <v>16</v>
      </c>
      <c r="B17" s="2" t="inlineStr">
        <is>
          <t>Private Messaging</t>
        </is>
      </c>
      <c r="C17" s="2" t="inlineStr">
        <is>
          <t>Access, Rights &amp; Retention</t>
        </is>
      </c>
      <c r="D17" s="2" t="inlineStr">
        <is>
          <t>§82.2</t>
        </is>
      </c>
      <c r="E17" s="2" t="inlineStr">
        <is>
          <t>User-facing§82.2Reader / Author Write a DirectMessage Fact Unit with AccessControlList restricted to exactly the sending and receiving identity.</t>
        </is>
      </c>
      <c r="F17" s="2" t="inlineStr">
        <is>
          <t>Access is granted only to the two identities named on the message.</t>
        </is>
      </c>
      <c r="G17" s="2">
        <f>IF(OR("reader_9"="reader_9","reader_9"="author_3"),"Access Granted","Denied")</f>
        <v/>
      </c>
    </row>
    <row r="18">
      <c r="A18" s="2" t="n">
        <v>17</v>
      </c>
      <c r="B18" s="2" t="inlineStr">
        <is>
          <t>Reader History Interface</t>
        </is>
      </c>
      <c r="C18" s="2" t="inlineStr">
        <is>
          <t>Access, Rights &amp; Retention</t>
        </is>
      </c>
      <c r="D18" s="2" t="inlineStr">
        <is>
          <t>§36.8</t>
        </is>
      </c>
      <c r="E18" s="2" t="inlineStr">
        <is>
          <t>User-facing§36.8Reader Chronological record of every session across every owned book, each entry expandable to show what was retrieved.</t>
        </is>
      </c>
      <c r="F18" s="2" t="inlineStr">
        <is>
          <t>Sessions are ordered by timestamp, most recent first.</t>
        </is>
      </c>
      <c r="G18" s="2">
        <f>IF(DATE(2026,8,10)&gt;DATE(2026,8,1),"Shown First","Shown Later")</f>
        <v/>
      </c>
    </row>
    <row r="19">
      <c r="A19" s="2" t="n">
        <v>18</v>
      </c>
      <c r="B19" s="2" t="inlineStr">
        <is>
          <t>Cross-Book Thematic Analysis</t>
        </is>
      </c>
      <c r="C19" s="2" t="inlineStr">
        <is>
          <t>Access, Rights &amp; Retention</t>
        </is>
      </c>
      <c r="D19" s="2" t="inlineStr">
        <is>
          <t>Chapter 36</t>
        </is>
      </c>
      <c r="E19" s="2" t="inlineStr">
        <is>
          <t>User-facingChapter 36Reader / Student Analyze a reader's own query-history Fact Units for recurring semantic clusters, then match against Ontology Mesh nodes in other owned books.</t>
        </is>
      </c>
      <c r="F19" s="2" t="inlineStr">
        <is>
          <t>A cross-book match requires cluster similarity above a threshold.</t>
        </is>
      </c>
      <c r="G19" s="2">
        <f>IF(0.71&gt;=0.6,"Genuine Connection","No Match")</f>
        <v/>
      </c>
    </row>
    <row r="20">
      <c r="A20" s="2" t="n">
        <v>19</v>
      </c>
      <c r="B20" s="2" t="inlineStr">
        <is>
          <t>QBQL Structured Query</t>
        </is>
      </c>
      <c r="C20" s="2" t="inlineStr">
        <is>
          <t>Retrieval &amp; Response</t>
        </is>
      </c>
      <c r="D20" s="2" t="inlineStr">
        <is>
          <t>Chapter 18</t>
        </is>
      </c>
      <c r="E20" s="2" t="inlineStr">
        <is>
          <t>User-facingChapter 18Researcher Parse a declarative query against the Fact Graph schema, resolve predicates, execute as a deterministic read-only traversal.</t>
        </is>
      </c>
      <c r="F20" s="2" t="inlineStr">
        <is>
          <t>Pure function of (query, current state) — no side effects.</t>
        </is>
      </c>
      <c r="G20" s="2" t="inlineStr"/>
    </row>
    <row r="21">
      <c r="A21" s="2" t="n">
        <v>20</v>
      </c>
      <c r="B21" s="2" t="inlineStr">
        <is>
          <t>NLPL Natural-Language Programs</t>
        </is>
      </c>
      <c r="C21" s="2" t="inlineStr">
        <is>
          <t>Retrieval &amp; Response</t>
        </is>
      </c>
      <c r="D21" s="2" t="inlineStr">
        <is>
          <t>Chapter 48</t>
        </is>
      </c>
      <c r="E21" s="2" t="inlineStr">
        <is>
          <t>User-facingChapter 48Researcher / Author Break the natural-language instruction into its constituent components before any code is generated.</t>
        </is>
      </c>
      <c r="F21" s="2" t="inlineStr">
        <is>
          <t>Structural rule: Decomposition into operational intents completes before any intent is bound to a concrete entity; an ambiguous binding halts compilation rather than resolving it.</t>
        </is>
      </c>
      <c r="G21" s="2" t="inlineStr"/>
    </row>
    <row r="22">
      <c r="A22" s="2" t="n">
        <v>21</v>
      </c>
      <c r="B22" s="2" t="inlineStr">
        <is>
          <t>Application Library and Generator</t>
        </is>
      </c>
      <c r="C22" s="2" t="inlineStr">
        <is>
          <t>Authoring, Editions &amp; Publication</t>
        </is>
      </c>
      <c r="D22" s="2" t="inlineStr">
        <is>
          <t>Chapter 39</t>
        </is>
      </c>
      <c r="E22" s="2" t="inlineStr">
        <is>
          <t>User-facingChapter 39Reader Match a plain-language request against the existing template library by task/domain similarity; compose a new template only where no adequate match exists.</t>
        </is>
      </c>
      <c r="F22" s="2" t="inlineStr">
        <is>
          <t>A library match is used only above a similarity threshold; below it, composition is triggered.</t>
        </is>
      </c>
      <c r="G22" s="2">
        <f>IF(0.4&gt;=0.65,"Use Existing Template","Compose New Template")</f>
        <v/>
      </c>
    </row>
    <row r="23">
      <c r="A23" s="2" t="n">
        <v>22</v>
      </c>
      <c r="B23" s="2" t="inlineStr">
        <is>
          <t>Video Colorization &amp; Upscaling (VCUM)</t>
        </is>
      </c>
      <c r="C23" s="2" t="inlineStr">
        <is>
          <t>Authoring, Editions &amp; Publication</t>
        </is>
      </c>
      <c r="D23" s="2" t="inlineStr">
        <is>
          <t>Chapter 44</t>
        </is>
      </c>
      <c r="E23" s="2" t="inlineStr">
        <is>
          <t>User-facingChapter 44Reader / Researcher Semantic Colorization Engine infers plausible color per-region from identified material class and lighting; upscaling synthesizes detail constrained to remain consistent with the source.</t>
        </is>
      </c>
      <c r="F23" s="2" t="inlineStr">
        <is>
          <t>Deterministic inference function: identical inputs always yield the identical inferred color.</t>
        </is>
      </c>
      <c r="G23" s="2" t="inlineStr"/>
    </row>
    <row r="24">
      <c r="A24" s="2" t="n">
        <v>23</v>
      </c>
      <c r="B24" s="2" t="inlineStr">
        <is>
          <t>Immersive 3D Scenes (IQR)</t>
        </is>
      </c>
      <c r="C24" s="2" t="inlineStr">
        <is>
          <t>Interaction Surfaces</t>
        </is>
      </c>
      <c r="D24" s="2" t="inlineStr">
        <is>
          <t>Chapter 46</t>
        </is>
      </c>
      <c r="E24" s="2" t="inlineStr">
        <is>
          <t>User-facingChapter 46Reader Where grounding Fact Units carry sufficient spatial detail, instantiate WASM Fact Units as a renderable 3D scene.</t>
        </is>
      </c>
      <c r="F24" s="2" t="inlineStr">
        <is>
          <t>Scene rendering is triggered only once spatial-detail sufficiency clears a threshold.</t>
        </is>
      </c>
      <c r="G24" s="2">
        <f>IF(0.8&gt;=0.7,"Render 3D Scene","Text Only")</f>
        <v/>
      </c>
    </row>
    <row r="25">
      <c r="A25" s="2" t="n">
        <v>24</v>
      </c>
      <c r="B25" s="2" t="inlineStr">
        <is>
          <t>Tour and Exhibition Mode</t>
        </is>
      </c>
      <c r="C25" s="2" t="inlineStr">
        <is>
          <t>Interaction Surfaces</t>
        </is>
      </c>
      <c r="D25" s="2" t="inlineStr">
        <is>
          <t>§46.9</t>
        </is>
      </c>
      <c r="E25" s="2" t="inlineStr">
        <is>
          <t>User-facing§46.9Author / Reader Sequence author-selected IQR scenes into ordered Waypoints; playback steps through at reader-controlled pace.</t>
        </is>
      </c>
      <c r="F25" s="2" t="inlineStr">
        <is>
          <t>Waypoint order is a fixed sequence index.</t>
        </is>
      </c>
      <c r="G25" s="2">
        <f>INDEX({"Scene A","Scene B","Scene C"},2)</f>
        <v/>
      </c>
    </row>
    <row r="26">
      <c r="A26" s="2" t="n">
        <v>25</v>
      </c>
      <c r="B26" s="2" t="inlineStr">
        <is>
          <t>Presenter Mode</t>
        </is>
      </c>
      <c r="C26" s="2" t="inlineStr">
        <is>
          <t>Interaction Surfaces</t>
        </is>
      </c>
      <c r="D26" s="2" t="inlineStr">
        <is>
          <t>§46.10</t>
        </is>
      </c>
      <c r="E26" s="2" t="inlineStr">
        <is>
          <t>User-facing§46.10Author Verify the requested presence mode against the author's current, mode-specific, non-revoked Author Authorization Record.</t>
        </is>
      </c>
      <c r="F26" s="2" t="inlineStr">
        <is>
          <t>Authorization is granted only if the specific mode is both authorized and not revoked.</t>
        </is>
      </c>
      <c r="G26" s="2">
        <f>IF(AND(TRUE(),NOT(FALSE())),"Authorized","Denied")</f>
        <v/>
      </c>
    </row>
    <row r="27">
      <c r="A27" s="2" t="n">
        <v>26</v>
      </c>
      <c r="B27" s="2" t="inlineStr">
        <is>
          <t>Instructor-Created Tours</t>
        </is>
      </c>
      <c r="C27" s="2" t="inlineStr">
        <is>
          <t>Interaction Surfaces</t>
        </is>
      </c>
      <c r="D27" s="2" t="inlineStr">
        <is>
          <t>Chapter 83</t>
        </is>
      </c>
      <c r="E27" s="2" t="inlineStr">
        <is>
          <t>User-facingChapter 83Instructor Sequence a Tour from already-published scenes, composed by an instructor rather than the author; carries non-removable ContentRole = INSTRUCTOR attribution.</t>
        </is>
      </c>
      <c r="F27" s="2" t="inlineStr">
        <is>
          <t>Attribution label is fixed by content role, not editable by the instructor.</t>
        </is>
      </c>
      <c r="G27" s="2">
        <f>IF("INSTRUCTOR"="INSTRUCTOR","Label: Instructor-Created","Label: Author-Curated")</f>
        <v/>
      </c>
    </row>
    <row r="28">
      <c r="A28" s="2" t="n">
        <v>27</v>
      </c>
      <c r="B28" s="2" t="inlineStr">
        <is>
          <t>Instructor Notes</t>
        </is>
      </c>
      <c r="C28" s="2" t="inlineStr">
        <is>
          <t>Interaction Surfaces</t>
        </is>
      </c>
      <c r="D28" s="2" t="inlineStr">
        <is>
          <t>§83.1</t>
        </is>
      </c>
      <c r="E28" s="2" t="inlineStr">
        <is>
          <t>User-facing§83.1Instructor As Personal Notes, but AccessControlList is scoped to the instructor's class roster.</t>
        </is>
      </c>
      <c r="F28" s="2" t="inlineStr">
        <is>
          <t>Access is granted only to identities on the class roster.</t>
        </is>
      </c>
      <c r="G28" s="2">
        <f>IF(COUNTIF({"student_1","student_2","student_3"},"student_2")&gt;0,"Access Granted","Denied")</f>
        <v/>
      </c>
    </row>
    <row r="29">
      <c r="A29" s="2" t="n">
        <v>28</v>
      </c>
      <c r="B29" s="2" t="inlineStr">
        <is>
          <t>Session Books</t>
        </is>
      </c>
      <c r="C29" s="2" t="inlineStr">
        <is>
          <t>Interaction Surfaces</t>
        </is>
      </c>
      <c r="D29" s="2" t="inlineStr">
        <is>
          <t>§84.1</t>
        </is>
      </c>
      <c r="E29" s="2" t="inlineStr">
        <is>
          <t>User-facing§84.1Reader / Researcher Construct a delta reference over the reader's library without copying underlying Fact Units; purge on session end.</t>
        </is>
      </c>
      <c r="F29" s="2" t="inlineStr">
        <is>
          <t>The delta is a reference set, not a copy; its size is independent of the underlying library size.</t>
        </is>
      </c>
      <c r="G29" s="2" t="inlineStr"/>
    </row>
    <row r="30">
      <c r="A30" s="2" t="n">
        <v>29</v>
      </c>
      <c r="B30" s="2" t="inlineStr">
        <is>
          <t>Instructor-Customized Assessment Templates</t>
        </is>
      </c>
      <c r="C30" s="2" t="inlineStr">
        <is>
          <t>Learning &amp; Assessment</t>
        </is>
      </c>
      <c r="D30" s="2" t="inlineStr">
        <is>
          <t>§84.2</t>
        </is>
      </c>
      <c r="E30" s="2" t="inlineStr">
        <is>
          <t>User-facing§84.2Instructor Store instructor-chosen structural parameters as a reusable template; apply structure to Comprehension Check generation while sourcing content from the Fact Graph.</t>
        </is>
      </c>
      <c r="F30" s="2" t="inlineStr">
        <is>
          <t>Question count is bounded by the template's configured maximum.</t>
        </is>
      </c>
      <c r="G30" s="2">
        <f>MIN(12,10)</f>
        <v/>
      </c>
    </row>
    <row r="31">
      <c r="A31" s="2" t="n">
        <v>30</v>
      </c>
      <c r="B31" s="2" t="inlineStr">
        <is>
          <t>Instructor Grant Visibility Dashboard</t>
        </is>
      </c>
      <c r="C31" s="2" t="inlineStr">
        <is>
          <t>Access, Rights &amp; Retention</t>
        </is>
      </c>
      <c r="D31" s="2" t="inlineStr">
        <is>
          <t>Chapter 85</t>
        </is>
      </c>
      <c r="E31" s="2" t="inlineStr">
        <is>
          <t>User-facingChapter 85Instructor Query all active instructor-grant Fact Units for the viewing identity; join against Class Board, Instructor Tour, and Assessment Template records.</t>
        </is>
      </c>
      <c r="F31" s="2" t="inlineStr">
        <is>
          <t>A grant is shown only while its status is active.</t>
        </is>
      </c>
      <c r="G31" s="2">
        <f>IF("ACTIVE"="ACTIVE","Show on Dashboard","Hide - Expired")</f>
        <v/>
      </c>
    </row>
    <row r="32">
      <c r="A32" s="2" t="n">
        <v>31</v>
      </c>
      <c r="B32" s="2" t="inlineStr">
        <is>
          <t>Manuscript Upload</t>
        </is>
      </c>
      <c r="C32" s="2" t="inlineStr">
        <is>
          <t>Authoring, Editions &amp; Publication</t>
        </is>
      </c>
      <c r="D32" s="2" t="inlineStr">
        <is>
          <t>§61.1.1</t>
        </is>
      </c>
      <c r="E32" s="2" t="inlineStr">
        <is>
          <t>User-facing§61.1.1Author Ingest the uploaded file in a single event; tag resulting Fact Units DraftStatus = DRAFT; restrict visibility until explicit submission.</t>
        </is>
      </c>
      <c r="F32" s="2" t="inlineStr">
        <is>
          <t>Visibility is gated on DraftStatus.</t>
        </is>
      </c>
      <c r="G32" s="2">
        <f>IF("DRAFT"="DRAFT","Author-Only Visibility","Public")</f>
        <v/>
      </c>
    </row>
    <row r="33">
      <c r="A33" s="2" t="n">
        <v>32</v>
      </c>
      <c r="B33" s="2" t="inlineStr">
        <is>
          <t>Manuscript Editor</t>
        </is>
      </c>
      <c r="C33" s="2" t="inlineStr">
        <is>
          <t>Authoring, Editions &amp; Publication</t>
        </is>
      </c>
      <c r="D33" s="2" t="inlineStr">
        <is>
          <t>§61.1</t>
        </is>
      </c>
      <c r="E33" s="2" t="inlineStr">
        <is>
          <t>User-facing§61.1Author Accumulate Fact Units incrementally per edit; each edit versioned through the standard VersionChain mechanism.</t>
        </is>
      </c>
      <c r="F33" s="2" t="inlineStr">
        <is>
          <t>Each edit increments the version counter by exactly one.</t>
        </is>
      </c>
      <c r="G33" s="2">
        <f>3+1</f>
        <v/>
      </c>
    </row>
    <row r="34">
      <c r="A34" s="2" t="n">
        <v>33</v>
      </c>
      <c r="B34" s="2" t="inlineStr">
        <is>
          <t>Narrative Coherence Checking</t>
        </is>
      </c>
      <c r="C34" s="2" t="inlineStr">
        <is>
          <t>Authoring, Editions &amp; Publication</t>
        </is>
      </c>
      <c r="D34" s="2" t="inlineStr">
        <is>
          <t>§61.2</t>
        </is>
      </c>
      <c r="E34" s="2" t="inlineStr">
        <is>
          <t>User-facing§61.2Author Apply Discussion Mode's critical-analysis capability to the draft's own Fact Graph, surfacing internal contradictions.</t>
        </is>
      </c>
      <c r="F34" s="2" t="inlineStr">
        <is>
          <t>A contradiction is flagged when two Fact Units assert incompatible values for the same subject/field.</t>
        </is>
      </c>
      <c r="G34" s="2">
        <f>IF("alive"&lt;&gt;"deceased","Contradiction Found","Consistent")</f>
        <v/>
      </c>
    </row>
    <row r="35">
      <c r="A35" s="2" t="n">
        <v>34</v>
      </c>
      <c r="B35" s="2" t="inlineStr">
        <is>
          <t>Counterfactual Exploration (Drafting)</t>
        </is>
      </c>
      <c r="C35" s="2" t="inlineStr">
        <is>
          <t>Authoring, Editions &amp; Publication</t>
        </is>
      </c>
      <c r="D35" s="2" t="inlineStr">
        <is>
          <t>§61.3</t>
        </is>
      </c>
      <c r="E35" s="2" t="inlineStr">
        <is>
          <t>User-facing§61.3Author Construct a Scenario Graph COUNTERFACTUAL branch from the draft's current state, preserving both branches.</t>
        </is>
      </c>
      <c r="F35" s="2" t="inlineStr">
        <is>
          <t>Both counterfactual branches are preserved; branch count after divergence is two.</t>
        </is>
      </c>
      <c r="G35" s="2">
        <f>IF(1+1&gt;=2,"Both branches preserved","Branch lost")</f>
        <v/>
      </c>
    </row>
    <row r="36">
      <c r="A36" s="2" t="n">
        <v>35</v>
      </c>
      <c r="B36" s="2" t="inlineStr">
        <is>
          <t>Supplemental Content</t>
        </is>
      </c>
      <c r="C36" s="2" t="inlineStr">
        <is>
          <t>Access, Rights &amp; Retention</t>
        </is>
      </c>
      <c r="D36" s="2" t="inlineStr">
        <is>
          <t>§82.1</t>
        </is>
      </c>
      <c r="E36" s="2" t="inlineStr">
        <is>
          <t>User-facing§82.1Author Ingest author-provided material, tag ContentRole = SUPPLEMENTAL, link to the parent book without altering its Rights Validation status.</t>
        </is>
      </c>
      <c r="F36" s="2" t="inlineStr">
        <is>
          <t>Rights status is read-only from the supplemental-ingestion path; it cannot be modified by this operation.</t>
        </is>
      </c>
      <c r="G36" s="2">
        <f>IF("VALIDATED"="VALIDATED","Rights Status Unchanged","Rights Status Unchanged")</f>
        <v/>
      </c>
    </row>
    <row r="37">
      <c r="A37" s="2" t="n">
        <v>36</v>
      </c>
      <c r="B37" s="2" t="inlineStr">
        <is>
          <t>Multi-Author Collaboration</t>
        </is>
      </c>
      <c r="C37" s="2" t="inlineStr">
        <is>
          <t>Authoring, Editions &amp; Publication</t>
        </is>
      </c>
      <c r="D37" s="2" t="inlineStr">
        <is>
          <t>Chapter 74</t>
        </is>
      </c>
      <c r="E37" s="2" t="inlineStr">
        <is>
          <t>User-facingChapter 74Co-Authors Detect concurrent-write divergence via VersionChain head comparison.</t>
        </is>
      </c>
      <c r="F37" s="2" t="inlineStr">
        <is>
          <t>A conflict exists when two authors' starting version heads differ from the current head.</t>
        </is>
      </c>
      <c r="G37" s="2">
        <f>IF(3&lt;&gt;5,"Conflict Detected","No Conflict")</f>
        <v/>
      </c>
    </row>
    <row r="38">
      <c r="A38" s="2" t="n">
        <v>37</v>
      </c>
      <c r="B38" s="2" t="inlineStr">
        <is>
          <t>Author-Hosted Reader Events</t>
        </is>
      </c>
      <c r="C38" s="2" t="inlineStr">
        <is>
          <t>Authoring, Editions &amp; Publication</t>
        </is>
      </c>
      <c r="D38" s="2" t="inlineStr">
        <is>
          <t>Chapter 62</t>
        </is>
      </c>
      <c r="E38" s="2" t="inlineStr">
        <is>
          <t>User-facingChapter 62Author / Instructor Register an external collaboration platform once via the Source Connector Registry; dispatch scheduling/invitation calls through it.</t>
        </is>
      </c>
      <c r="F38" s="2" t="inlineStr">
        <is>
          <t>Structural rule: An event operation is dispatched only through a connector registered under a declared capability; the platform's broader authority does not become system authority.</t>
        </is>
      </c>
      <c r="G38" s="2" t="inlineStr"/>
    </row>
    <row r="39">
      <c r="A39" s="2" t="n">
        <v>38</v>
      </c>
      <c r="B39" s="2" t="inlineStr">
        <is>
          <t>Class Boards</t>
        </is>
      </c>
      <c r="C39" s="2" t="inlineStr">
        <is>
          <t>Interaction Surfaces</t>
        </is>
      </c>
      <c r="D39" s="2" t="inlineStr">
        <is>
          <t>§64.1</t>
        </is>
      </c>
      <c r="E39" s="2" t="inlineStr">
        <is>
          <t>User-facing§64.1Instructor / Student As Message Boards, scoped to a specific instructor + class pairing.</t>
        </is>
      </c>
      <c r="F39" s="2" t="inlineStr">
        <is>
          <t>Structural rule: Board scope is the intersection of an instructor identity and a class roster; a post is visible only within that pairing.</t>
        </is>
      </c>
      <c r="G39" s="2" t="inlineStr"/>
    </row>
    <row r="40">
      <c r="A40" s="2" t="n">
        <v>39</v>
      </c>
      <c r="B40" s="2" t="inlineStr">
        <is>
          <t>Publisher Submission and Print-on-Demand</t>
        </is>
      </c>
      <c r="C40" s="2" t="inlineStr">
        <is>
          <t>Authoring, Editions &amp; Publication</t>
        </is>
      </c>
      <c r="D40" s="2" t="inlineStr">
        <is>
          <t>Chapter 60</t>
        </is>
      </c>
      <c r="E40" s="2" t="inlineStr">
        <is>
          <t>User-facingChapter 60Publisher / Author Accept a manuscript/title submission and route it into the publishing workflow.</t>
        </is>
      </c>
      <c r="F40" s="2" t="inlineStr">
        <is>
          <t>Structural rule: Rights validation precedes routing into the publishing workflow; an unvalidated submission does not enter it.</t>
        </is>
      </c>
      <c r="G40" s="2" t="inlineStr"/>
    </row>
    <row r="41">
      <c r="A41" s="2" t="n">
        <v>40</v>
      </c>
      <c r="B41" s="2" t="inlineStr">
        <is>
          <t>Market Analytics</t>
        </is>
      </c>
      <c r="C41" s="2" t="inlineStr">
        <is>
          <t>Authoring, Editions &amp; Publication</t>
        </is>
      </c>
      <c r="D41" s="2" t="inlineStr">
        <is>
          <t>§60.6</t>
        </is>
      </c>
      <c r="E41" s="2" t="inlineStr">
        <is>
          <t>User-facing§60.6Publisher Aggregate distribution and usage Fact Units for a title into standard reporting views.</t>
        </is>
      </c>
      <c r="F41" s="2" t="inlineStr">
        <is>
          <t>A total is the sum of per-region unit counts.</t>
        </is>
      </c>
      <c r="G41" s="2">
        <f>SUM(120,340,75)</f>
        <v/>
      </c>
    </row>
    <row r="42">
      <c r="A42" s="2" t="n">
        <v>41</v>
      </c>
      <c r="B42" s="2" t="inlineStr">
        <is>
          <t>Moderation Appeals</t>
        </is>
      </c>
      <c r="C42" s="2" t="inlineStr">
        <is>
          <t>Platform Governance &amp; Evolution</t>
        </is>
      </c>
      <c r="D42" s="2" t="inlineStr">
        <is>
          <t>Chapter 75</t>
        </is>
      </c>
      <c r="E42" s="2" t="inlineStr">
        <is>
          <t>User-facingChapter 75Reader / Author Affected identity submits an AppealUnit referencing the original moderation action's Provenance Ledger entry.</t>
        </is>
      </c>
      <c r="F42" s="2" t="inlineStr">
        <is>
          <t>Structural rule: An appeal is evaluated by a reviewer other than the moderator whose action is appealed, and references that action's ledger entry.</t>
        </is>
      </c>
      <c r="G42" s="2" t="inlineStr"/>
    </row>
    <row r="43">
      <c r="A43" s="2" t="n">
        <v>42</v>
      </c>
      <c r="B43" s="2" t="inlineStr">
        <is>
          <t>Data Export / Portability</t>
        </is>
      </c>
      <c r="C43" s="2" t="inlineStr">
        <is>
          <t>Access, Rights &amp; Retention</t>
        </is>
      </c>
      <c r="D43" s="2" t="inlineStr">
        <is>
          <t>Chapter 72</t>
        </is>
      </c>
      <c r="E43" s="2" t="inlineStr">
        <is>
          <t>User-facingChapter 72Reader / Author / Researcher Query all Fact Units the requesting identity has rights to within scope; serialize to the target open format with provenance attached; continued access is unaffected.</t>
        </is>
      </c>
      <c r="F43" s="2" t="inlineStr">
        <is>
          <t>Structural rule: Export covers exactly the Fact Units the requesting identity holds rights to; export is not conditioned on continuing entitlement and withdraws no access.</t>
        </is>
      </c>
      <c r="G43" s="2" t="inlineStr"/>
    </row>
    <row r="44">
      <c r="A44" s="2" t="n">
        <v>43</v>
      </c>
      <c r="B44" s="2" t="inlineStr">
        <is>
          <t>Accessibility Suite</t>
        </is>
      </c>
      <c r="C44" s="2" t="inlineStr">
        <is>
          <t>Authoring, Editions &amp; Publication</t>
        </is>
      </c>
      <c r="D44" s="2" t="inlineStr">
        <is>
          <t>Chapter 71</t>
        </is>
      </c>
      <c r="E44" s="2" t="inlineStr">
        <is>
          <t>User-facingChapter 71Reader Generate the required accessible-equivalent Fact Unit from the same source at production time; gate production-complete status on the equivalent's presence.</t>
        </is>
      </c>
      <c r="F44" s="2" t="inlineStr">
        <is>
          <t>Content is production-complete only if its accessible equivalent also exists.</t>
        </is>
      </c>
      <c r="G44" s="2">
        <f>IF(AND(TRUE(),TRUE()),"Production Complete","Incomplete - Missing Equivalent")</f>
        <v/>
      </c>
    </row>
    <row r="45">
      <c r="A45" s="2" t="n">
        <v>44</v>
      </c>
      <c r="B45" s="2" t="inlineStr">
        <is>
          <t>Precision Geometric/Color Registration</t>
        </is>
      </c>
      <c r="C45" s="2" t="inlineStr">
        <is>
          <t>World Model &amp; Perception</t>
        </is>
      </c>
      <c r="D45" s="2" t="inlineStr">
        <is>
          <t>§46.10.8</t>
        </is>
      </c>
      <c r="E45" s="2" t="inlineStr">
        <is>
          <t>User-facing§46.10.8 / Ch70Author Represent presenter reference material as Color Fact Units with a DeltaEThreshold; run the 3-pass Registration Constraint Graph solver; surface any drift finding rather than auto-correcting.</t>
        </is>
      </c>
      <c r="F45" s="2" t="inlineStr">
        <is>
          <t>ΔE (CIE76) computed per Waypoint transition; a finding is raised when ΔE exceeds the authored threshold.</t>
        </is>
      </c>
      <c r="G45" s="2">
        <f>SQRT((50-52)^2+(20-19)^2+((-10)-(-11))^2)</f>
        <v/>
      </c>
    </row>
    <row r="46">
      <c r="A46" s="2" t="n">
        <v>45</v>
      </c>
      <c r="B46" s="2" t="inlineStr">
        <is>
          <t>Geometric Proof Engine</t>
        </is>
      </c>
      <c r="C46" s="2" t="inlineStr">
        <is>
          <t>World Model &amp; Perception</t>
        </is>
      </c>
      <c r="D46" s="2" t="inlineStr">
        <is>
          <t>§70.9</t>
        </is>
      </c>
      <c r="E46" s="2" t="inlineStr">
        <is>
          <t>User-facing§70.9Researcher / Student Apply a fixed rule set to existing Geometry/Constraint Fact Units, producing a cited proof step for each derived relationship; halt on contradiction.</t>
        </is>
      </c>
      <c r="F46" s="2" t="inlineStr">
        <is>
          <t>Illustrates the complementary-angle rule with example angles 35°/55°.</t>
        </is>
      </c>
      <c r="G46" s="2">
        <f>IF(35+55=90,"Complementary","Not Complementary")</f>
        <v/>
      </c>
    </row>
    <row r="47">
      <c r="A47" s="2" t="n">
        <v>46</v>
      </c>
      <c r="B47" s="2" t="inlineStr">
        <is>
          <t>Human Reasoning and Motivation Modeling</t>
        </is>
      </c>
      <c r="C47" s="2" t="inlineStr">
        <is>
          <t>Inference, Prediction &amp; Calibration</t>
        </is>
      </c>
      <c r="D47" s="2" t="inlineStr">
        <is>
          <t>Chapter 80</t>
        </is>
      </c>
      <c r="E47" s="2" t="inlineStr">
        <is>
          <t>User-facingChapter 80Researcher Construct Goal/Motivation Fact Units with a mandatory Subject reference; represent pursuit via Scenario Graph PLANNING anchored to WASM Affordance data.</t>
        </is>
      </c>
      <c r="F47" s="2" t="inlineStr">
        <is>
          <t>Confidence in an inferred (vs. stated) motivation is discounted relative to a directly-stated one.</t>
        </is>
      </c>
      <c r="G47" s="2">
        <f>0.9*0.6</f>
        <v/>
      </c>
    </row>
    <row r="48">
      <c r="A48" s="2" t="n">
        <v>47</v>
      </c>
      <c r="B48" s="2" t="inlineStr">
        <is>
          <t>Autonomous Agent Connector</t>
        </is>
      </c>
      <c r="C48" s="2" t="inlineStr">
        <is>
          <t>External Integration &amp; Analysis</t>
        </is>
      </c>
      <c r="D48" s="2" t="inlineStr">
        <is>
          <t>§49.3.3.6</t>
        </is>
      </c>
      <c r="E48" s="2" t="inlineStr">
        <is>
          <t>User-facing§49.3.3.6Author / Publisher Dispatch a QBPL-compiled, declared action to a registered external agent per its Capability Declaration; log request/result to the Provenance Ledger.</t>
        </is>
      </c>
      <c r="F48" s="2" t="inlineStr">
        <is>
          <t>An action is only dispatched if it appears in the connector's declared capability set.</t>
        </is>
      </c>
      <c r="G48" s="2">
        <f>IF(COUNTIF({"schedule_event","send_invite"},"schedule_event")&gt;0,"Dispatch Allowed","Blocked - Undeclared")</f>
        <v/>
      </c>
    </row>
    <row r="49">
      <c r="A49" s="2" t="n">
        <v>48</v>
      </c>
      <c r="B49" s="2" t="inlineStr">
        <is>
          <t>Optional External Fact-Retrieval Connector</t>
        </is>
      </c>
      <c r="C49" s="2" t="inlineStr">
        <is>
          <t>External Integration &amp; Analysis</t>
        </is>
      </c>
      <c r="D49" s="2" t="inlineStr">
        <is>
          <t>Chapter 81</t>
        </is>
      </c>
      <c r="E49" s="2" t="inlineStr">
        <is>
          <t>User-facingChapter 81Researcher Dispatch a directed query to a registered external fact-retrieval connector, where one is registered, and convert the returned result into a native Fact Unit at the connector boundary under the ordinary ingestion path, safety evaluation and confidence calibration. The connector is one connector among others under the capability-declaration contract; it is optional, it is not a substrate, and every mechanism of this specification operates identically where none is registered. A separately-patented external system of this kind may be connected on these terms without becoming a component or a dependency.</t>
        </is>
      </c>
      <c r="F49" s="2" t="inlineStr">
        <is>
          <t>Core operation is invariant to connector presence: the mechanism set executed is identical whether or not an external fact-retrieval connector is registered.</t>
        </is>
      </c>
      <c r="G49" s="2">
        <f>IF(COUNTIF({"registered","absent"},"absent")&gt;0,"Core operates identically","Core operates identically")</f>
        <v/>
      </c>
    </row>
    <row r="50">
      <c r="A50" s="2" t="n">
        <v>49</v>
      </c>
      <c r="B50" s="2" t="inlineStr">
        <is>
          <t>Human-Directed Improvement Proposals</t>
        </is>
      </c>
      <c r="C50" s="2" t="inlineStr">
        <is>
          <t>Platform Governance &amp; Evolution</t>
        </is>
      </c>
      <c r="D50" s="2" t="inlineStr">
        <is>
          <t>§78.6</t>
        </is>
      </c>
      <c r="E50" s="2" t="inlineStr">
        <is>
          <t>User-facing§78.6Entitled Author / Admin Accept a directly-submitted Proposal Fact Unit from an entitled identity, bypassing telemetry-based identification but not the downstream sandbox/pre-screen/review stages.</t>
        </is>
      </c>
      <c r="F50" s="2" t="inlineStr">
        <is>
          <t>Structural rule: A human-submitted proposal enters the same evaluation and approval gate as a telemetry-identified one; bypassing telemetry does not bypass review.</t>
        </is>
      </c>
      <c r="G50" s="2" t="inlineStr"/>
    </row>
    <row r="51">
      <c r="A51" s="2" t="n">
        <v>50</v>
      </c>
      <c r="B51" s="2" t="inlineStr">
        <is>
          <t>Fact Unit Schema</t>
        </is>
      </c>
      <c r="C51" s="2" t="inlineStr">
        <is>
          <t>Knowledge Substrate</t>
        </is>
      </c>
      <c r="D51" s="2" t="inlineStr">
        <is>
          <t>Chapter 3 / Appendix A</t>
        </is>
      </c>
      <c r="E51" s="2" t="inlineStr">
        <is>
          <t>Every knowledge unit is instantiated with a fixed field set regardless of source modality or FactType.</t>
        </is>
      </c>
      <c r="F51" s="2" t="inlineStr">
        <is>
          <t>FUID is a deterministic function of (content, source, timestamp).</t>
        </is>
      </c>
      <c r="G51" s="2" t="inlineStr"/>
    </row>
    <row r="52">
      <c r="A52" s="2" t="n">
        <v>51</v>
      </c>
      <c r="B52" s="2" t="inlineStr">
        <is>
          <t>Multimodal Ingestion Pipeline</t>
        </is>
      </c>
      <c r="C52" s="2" t="inlineStr">
        <is>
          <t>Ingestion &amp; Sensory Intake</t>
        </is>
      </c>
      <c r="D52" s="2" t="inlineStr">
        <is>
          <t>Chapter 4</t>
        </is>
      </c>
      <c r="E52" s="2" t="inlineStr">
        <is>
          <t>Identify which of the eight defined modalities the incoming content matches.</t>
        </is>
      </c>
      <c r="F52" s="2" t="inlineStr">
        <is>
          <t>Detection selects the modality with the highest match score among the eight defined bits.</t>
        </is>
      </c>
      <c r="G52" s="2">
        <f>INDEX({"Text","Structured","Image","Audio","Video","Sensor","KG","Code"},MATCH(MAX({0.1,0.9,0.2,0.05,0.1,0,0,0}),{0.1,0.9,0.2,0.05,0.1,0,0,0},0))</f>
        <v/>
      </c>
    </row>
    <row r="53">
      <c r="A53" s="2" t="n">
        <v>52</v>
      </c>
      <c r="B53" s="2" t="inlineStr">
        <is>
          <t>Classification Fallback</t>
        </is>
      </c>
      <c r="C53" s="2" t="inlineStr">
        <is>
          <t>Ingestion &amp; Sensory Intake</t>
        </is>
      </c>
      <c r="D53" s="2" t="inlineStr">
        <is>
          <t>§4.2.1</t>
        </is>
      </c>
      <c r="E53" s="2" t="inlineStr">
        <is>
          <t>Attempt best-effort resolution to the nearest of the eight modalities; halt with a stated reason where no reasonable resolution exists.</t>
        </is>
      </c>
      <c r="F53" s="2" t="inlineStr">
        <is>
          <t>Resolution proceeds only if best-match confidence clears a minimum threshold; otherwise halt.</t>
        </is>
      </c>
      <c r="G53" s="2">
        <f>IF(0.3&gt;=0.5,"Resolve to Nearest Modality","Halt - Unclassified")</f>
        <v/>
      </c>
    </row>
    <row r="54">
      <c r="A54" s="2" t="n">
        <v>53</v>
      </c>
      <c r="B54" s="2" t="inlineStr">
        <is>
          <t>Provenance Ledger</t>
        </is>
      </c>
      <c r="C54" s="2" t="inlineStr">
        <is>
          <t>Knowledge Substrate</t>
        </is>
      </c>
      <c r="D54" s="2" t="inlineStr">
        <is>
          <t>Chapter 5</t>
        </is>
      </c>
      <c r="E54" s="2" t="inlineStr">
        <is>
          <t>Append each consequential operation as a node in a Merkle DAG; compute a keyed checksum sufficient to detect a Safety Substrate bypass.</t>
        </is>
      </c>
      <c r="F54" s="2" t="inlineStr">
        <is>
          <t>A checksum mismatch indicates the recorded safety evaluation does not match what actually ran.</t>
        </is>
      </c>
      <c r="G54" s="2">
        <f>IF("A1B2C3"="A1B2C3","Checksum Valid","Bypass Detected")</f>
        <v/>
      </c>
    </row>
    <row r="55">
      <c r="A55" s="2" t="n">
        <v>54</v>
      </c>
      <c r="B55" s="2" t="inlineStr">
        <is>
          <t>Ontology Mesh</t>
        </is>
      </c>
      <c r="C55" s="2" t="inlineStr">
        <is>
          <t>Ontology &amp; Conceptual Structure</t>
        </is>
      </c>
      <c r="D55" s="2" t="inlineStr">
        <is>
          <t>Chapter 6</t>
        </is>
      </c>
      <c r="E55" s="2" t="inlineStr">
        <is>
          <t>Build relationship edges between Fact Units only where the underlying facts actually connect, not from statistical co-occurrence.</t>
        </is>
      </c>
      <c r="F55" s="2" t="inlineStr">
        <is>
          <t>An edge is created only if a real, named relationship type applies.</t>
        </is>
      </c>
      <c r="G55" s="2">
        <f>IF(COUNTIF({"causal","comparative","shared-entity"},"causal")&gt;0,"Edge Created","No Edge")</f>
        <v/>
      </c>
    </row>
    <row r="56">
      <c r="A56" s="2" t="n">
        <v>55</v>
      </c>
      <c r="B56" s="2" t="inlineStr">
        <is>
          <t>Neuromorphic Cognitive Layer / Attractor Network</t>
        </is>
      </c>
      <c r="C56" s="2" t="inlineStr">
        <is>
          <t>Retrieval &amp; Response</t>
        </is>
      </c>
      <c r="D56" s="2" t="inlineStr">
        <is>
          <t>Chapter 7</t>
        </is>
      </c>
      <c r="E56" s="2" t="inlineStr">
        <is>
          <t>Given an initial candidate activation set, iteratively update each activation using neighboring weighted activations until convergence.</t>
        </is>
      </c>
      <c r="F56" s="2" t="inlineStr">
        <is>
          <t>a_i(t+1) = sign( Σ_j W_ij × a_j(t) − θ_i ), reliable capacity ≈ 0.14N stable patterns for N units.</t>
        </is>
      </c>
      <c r="G56" s="2">
        <f>SIGN(SUMPRODUCT({0.5,0.3,-0.2},{1,1,0})-0.1)</f>
        <v/>
      </c>
    </row>
    <row r="57">
      <c r="A57" s="2" t="n">
        <v>56</v>
      </c>
      <c r="B57" s="2" t="inlineStr">
        <is>
          <t>Safety Substrate</t>
        </is>
      </c>
      <c r="C57" s="2" t="inlineStr">
        <is>
          <t>Prime Directive</t>
        </is>
      </c>
      <c r="D57" s="2" t="inlineStr">
        <is>
          <t>Chapter 8</t>
        </is>
      </c>
      <c r="E57" s="2" t="inlineStr">
        <is>
          <t>Evaluate every operation against SafetyFlags-derived rules at each mandatory, synchronous enforcement point.</t>
        </is>
      </c>
      <c r="F57" s="2" t="inlineStr">
        <is>
          <t>An operation proceeds only if it passes every one of its applicable gates.</t>
        </is>
      </c>
      <c r="G57" s="2">
        <f>IF(AND(TRUE(),TRUE(),TRUE()),"Proceed","Blocked at Gate")</f>
        <v/>
      </c>
    </row>
    <row r="58">
      <c r="A58" s="2" t="n">
        <v>57</v>
      </c>
      <c r="B58" s="2" t="inlineStr">
        <is>
          <t>Semantic Transport Layer</t>
        </is>
      </c>
      <c r="C58" s="2" t="inlineStr">
        <is>
          <t>Retrieval &amp; Response</t>
        </is>
      </c>
      <c r="D58" s="2" t="inlineStr">
        <is>
          <t>Chapter 9</t>
        </is>
      </c>
      <c r="E58" s="2" t="inlineStr">
        <is>
          <t>Route Fact Units between subsystems based on FactType and subscriber-declared filter predicates.</t>
        </is>
      </c>
      <c r="F58" s="2" t="inlineStr">
        <is>
          <t>A subscriber receives a Fact Unit only if it matches every declared filter predicate.</t>
        </is>
      </c>
      <c r="G58" s="2">
        <f>IF(AND(TRUE(),TRUE()),"Delivered to Subscriber","Filtered Out")</f>
        <v/>
      </c>
    </row>
    <row r="59">
      <c r="A59" s="2" t="n">
        <v>58</v>
      </c>
      <c r="B59" s="2" t="inlineStr">
        <is>
          <t>Predictive Inference Engine (PIE)</t>
        </is>
      </c>
      <c r="C59" s="2" t="inlineStr">
        <is>
          <t>Inference, Prediction &amp; Calibration</t>
        </is>
      </c>
      <c r="D59" s="2" t="inlineStr">
        <is>
          <t>Chapter 10</t>
        </is>
      </c>
      <c r="E59" s="2" t="inlineStr">
        <is>
          <t>Integrate four input streams into a probabilistic forward projection of future knowledge states, with confidence intervals.</t>
        </is>
      </c>
      <c r="F59" s="2" t="inlineStr">
        <is>
          <t>Illustrates the trend-projection component only — output is an interval estimate, not a single deterministic value.</t>
        </is>
      </c>
      <c r="G59" s="2">
        <f>TREND({10,12,14,16},{1,2,3,4},5)</f>
        <v/>
      </c>
    </row>
    <row r="60">
      <c r="A60" s="2" t="n">
        <v>59</v>
      </c>
      <c r="B60" s="2" t="inlineStr">
        <is>
          <t>Scenario Graph</t>
        </is>
      </c>
      <c r="C60" s="2" t="inlineStr">
        <is>
          <t>Inference, Prediction &amp; Calibration</t>
        </is>
      </c>
      <c r="D60" s="2" t="inlineStr">
        <is>
          <t>Chapter 11</t>
        </is>
      </c>
      <c r="E60" s="2" t="inlineStr">
        <is>
          <t>Represent a hypothetical as a Knowledge State Snapshot delta rather than copying the full graph; prune low-probability branches against a threshold.</t>
        </is>
      </c>
      <c r="F60" s="2" t="inlineStr">
        <is>
          <t>A branch is pruned when its probability falls below the configured threshold.</t>
        </is>
      </c>
      <c r="G60" s="2">
        <f>IF(0.03&lt;0.05,"Prune Branch","Retain Branch")</f>
        <v/>
      </c>
    </row>
    <row r="61">
      <c r="A61" s="2" t="n">
        <v>60</v>
      </c>
      <c r="B61" s="2" t="inlineStr">
        <is>
          <t>Narrative Graph</t>
        </is>
      </c>
      <c r="C61" s="2" t="inlineStr">
        <is>
          <t>Grounded Expression</t>
        </is>
      </c>
      <c r="D61" s="2" t="inlineStr">
        <is>
          <t>Chapter 12</t>
        </is>
      </c>
      <c r="E61" s="2" t="inlineStr">
        <is>
          <t>Construct typed edges between Fact Units to mediate response composition; flag narrative gaps where no supporting edge exists.</t>
        </is>
      </c>
      <c r="F61" s="2" t="inlineStr">
        <is>
          <t>Structural rule: Every Narrative Graph edge references at least one Fact Unit; an edge without such a reference is not constructed.</t>
        </is>
      </c>
      <c r="G61" s="2" t="inlineStr"/>
    </row>
    <row r="62">
      <c r="A62" s="2" t="n">
        <v>61</v>
      </c>
      <c r="B62" s="2" t="inlineStr">
        <is>
          <t>QueryBook Format (QBF)</t>
        </is>
      </c>
      <c r="C62" s="2" t="inlineStr">
        <is>
          <t>Knowledge Substrate</t>
        </is>
      </c>
      <c r="D62" s="2" t="inlineStr">
        <is>
          <t>Chapter 13</t>
        </is>
      </c>
      <c r="E62" s="2" t="inlineStr">
        <is>
          <t>Serialize Fact Units to a binary frame format permitting resynchronization to the next valid frame after corrupted data.</t>
        </is>
      </c>
      <c r="F62" s="2" t="inlineStr">
        <is>
          <t>Structural rule: A frame boundary is recoverable without reparsing the preceding frame, so a corrupt frame costs one frame rather than the stream.</t>
        </is>
      </c>
      <c r="G62" s="2" t="inlineStr"/>
    </row>
    <row r="63">
      <c r="A63" s="2" t="n">
        <v>62</v>
      </c>
      <c r="B63" s="2" t="inlineStr">
        <is>
          <t>Storage Architecture</t>
        </is>
      </c>
      <c r="C63" s="2" t="inlineStr">
        <is>
          <t>Knowledge Substrate</t>
        </is>
      </c>
      <c r="D63" s="2" t="inlineStr">
        <is>
          <t>Chapter 14</t>
        </is>
      </c>
      <c r="E63" s="2" t="inlineStr">
        <is>
          <t>Tier Fact Units across storage layers by access-recency/frequency; index for similarity and exact-match retrieval.</t>
        </is>
      </c>
      <c r="F63" s="2" t="inlineStr">
        <is>
          <t>A Fact Unit is promoted to a hotter tier once its access count exceeds a threshold.</t>
        </is>
      </c>
      <c r="G63" s="2">
        <f>IF(42&gt;20,"Promote to Hot Tier","Remain in Current Tier")</f>
        <v/>
      </c>
    </row>
    <row r="64">
      <c r="A64" s="2" t="n">
        <v>63</v>
      </c>
      <c r="B64" s="2" t="inlineStr">
        <is>
          <t>AGI Extension Modules (AEM)</t>
        </is>
      </c>
      <c r="C64" s="2" t="inlineStr">
        <is>
          <t>Inference, Prediction &amp; Calibration</t>
        </is>
      </c>
      <c r="D64" s="2" t="inlineStr">
        <is>
          <t>Chapter 15</t>
        </is>
      </c>
      <c r="E64" s="2" t="inlineStr">
        <is>
          <t>Synthesize a new derived insight from multiple existing Fact Units where no single Fact Unit directly answers a query.</t>
        </is>
      </c>
      <c r="F64" s="2" t="inlineStr">
        <is>
          <t>A synthesized insight carries a confidence trajectory distinct from, and generally lower than, any single contributing fact.</t>
        </is>
      </c>
      <c r="G64" s="2">
        <f>MIN(0.8,0.75)</f>
        <v/>
      </c>
    </row>
    <row r="65">
      <c r="A65" s="2" t="n">
        <v>64</v>
      </c>
      <c r="B65" s="2" t="inlineStr">
        <is>
          <t>Multilingual Regeneration Engine (MRE)</t>
        </is>
      </c>
      <c r="C65" s="2" t="inlineStr">
        <is>
          <t>Grounded Expression</t>
        </is>
      </c>
      <c r="D65" s="2" t="inlineStr">
        <is>
          <t>Chapter 16</t>
        </is>
      </c>
      <c r="E65" s="2" t="inlineStr">
        <is>
          <t>Regenerate output in a target language directly from the language-independent Narrative Graph and SemanticHash-linked Fact Units.</t>
        </is>
      </c>
      <c r="F65" s="2" t="inlineStr">
        <is>
          <t>Back-translation of a regenerated output must yield a SemanticHash within the configured distance of the original (§16.5).</t>
        </is>
      </c>
      <c r="G65" s="2">
        <f>IF(0.04&lt;=0.05,"Round-trip within tolerance","Regeneration rejected")</f>
        <v/>
      </c>
    </row>
    <row r="66">
      <c r="A66" s="2" t="n">
        <v>65</v>
      </c>
      <c r="B66" s="2" t="inlineStr">
        <is>
          <t>Cross-Domain Rule Engine (CDRE)</t>
        </is>
      </c>
      <c r="C66" s="2" t="inlineStr">
        <is>
          <t>Ontology &amp; Conceptual Structure</t>
        </is>
      </c>
      <c r="D66" s="2" t="inlineStr">
        <is>
          <t>Chapter 17</t>
        </is>
      </c>
      <c r="E66" s="2" t="inlineStr">
        <is>
          <t>Evaluate a probabilistically-weighted, temporally-scoped rule set incrementally, maintaining a persistent Conflict Index.</t>
        </is>
      </c>
      <c r="F66" s="2" t="inlineStr">
        <is>
          <t>A contradiction entry is added to the index when two active rules produce incompatible conclusions.</t>
        </is>
      </c>
      <c r="G66" s="2">
        <f>IF("true"&lt;&gt;"false","Contradiction Logged","Consistent")</f>
        <v/>
      </c>
    </row>
    <row r="67">
      <c r="A67" s="2" t="n">
        <v>66</v>
      </c>
      <c r="B67" s="2" t="inlineStr">
        <is>
          <t>QBQL (execution floor)</t>
        </is>
      </c>
      <c r="C67" s="2" t="inlineStr">
        <is>
          <t>Retrieval &amp; Response</t>
        </is>
      </c>
      <c r="D67" s="2" t="inlineStr">
        <is>
          <t>Chapter 18</t>
        </is>
      </c>
      <c r="E67" s="2" t="inlineStr">
        <is>
          <t>Execute a declarative query as a read-only graph traversal with no mutation or control-flow capability.</t>
        </is>
      </c>
      <c r="F67" s="2" t="inlineStr">
        <is>
          <t>Pure function of (query, state) — no hidden state carried between evaluations.</t>
        </is>
      </c>
      <c r="G67" s="2" t="inlineStr"/>
    </row>
    <row r="68">
      <c r="A68" s="2" t="n">
        <v>67</v>
      </c>
      <c r="B68" s="2" t="inlineStr">
        <is>
          <t>QBPL (bounded program layer)</t>
        </is>
      </c>
      <c r="C68" s="2" t="inlineStr">
        <is>
          <t>Retrieval &amp; Response</t>
        </is>
      </c>
      <c r="D68" s="2" t="inlineStr">
        <is>
          <t>§48.3, §48.5</t>
        </is>
      </c>
      <c r="E68" s="2" t="inlineStr">
        <is>
          <t>Compile to one of nine fixed primitives; REPEAT-UNTIL-BOUND enforces a hard iteration ceiling at compile time.</t>
        </is>
      </c>
      <c r="F68" s="2" t="inlineStr">
        <is>
          <t>Primitive set is finite (|P| = 9); non-Turing-complete by construction.</t>
        </is>
      </c>
      <c r="G68" s="2">
        <f>MIN(150,100)</f>
        <v/>
      </c>
    </row>
    <row r="69">
      <c r="A69" s="2" t="n">
        <v>68</v>
      </c>
      <c r="B69" s="2" t="inlineStr">
        <is>
          <t>Clarification Generation Engine</t>
        </is>
      </c>
      <c r="C69" s="2" t="inlineStr">
        <is>
          <t>Retrieval &amp; Response</t>
        </is>
      </c>
      <c r="D69" s="2" t="inlineStr">
        <is>
          <t>Chapter 37</t>
        </is>
      </c>
      <c r="E69" s="2" t="inlineStr">
        <is>
          <t>Detect genuine referential ambiguity or a repetition/frustration signal; generate an anchored clarifying question rather than guessing.</t>
        </is>
      </c>
      <c r="F69" s="2" t="inlineStr">
        <is>
          <t>Ambiguity is flagged when top-candidate confidence scores are too close to separate.</t>
        </is>
      </c>
      <c r="G69" s="2">
        <f>IF(ABS(0.51-0.49)&lt;0.1,"Ask Clarifying Question","Proceed")</f>
        <v/>
      </c>
    </row>
    <row r="70">
      <c r="A70" s="2" t="n">
        <v>69</v>
      </c>
      <c r="B70" s="2" t="inlineStr">
        <is>
          <t>Natural Language Interaction Layer (NLIL)</t>
        </is>
      </c>
      <c r="C70" s="2" t="inlineStr">
        <is>
          <t>Retrieval &amp; Response</t>
        </is>
      </c>
      <c r="D70" s="2" t="inlineStr">
        <is>
          <t>Chapter 50</t>
        </is>
      </c>
      <c r="E70" s="2" t="inlineStr">
        <is>
          <t>Select vocabulary, structural format, and explanatory depth for phrasing based on inferred audience profile; the underlying fact is never altered.</t>
        </is>
      </c>
      <c r="F70" s="2" t="inlineStr">
        <is>
          <t>The selected audience profile must resolve to a defined expertise level; the underlying Fact Unit is never altered by the selection.</t>
        </is>
      </c>
      <c r="G70" s="2">
        <f>IF(AND(4&gt;=1,4&lt;=7),"Audience profile applied; fact unaltered","Refused - expertise level out of range")</f>
        <v/>
      </c>
    </row>
    <row r="71">
      <c r="A71" s="2" t="n">
        <v>70</v>
      </c>
      <c r="B71" s="2" t="inlineStr">
        <is>
          <t>Fact Universe Architecture</t>
        </is>
      </c>
      <c r="C71" s="2" t="inlineStr">
        <is>
          <t>Retrieval &amp; Response</t>
        </is>
      </c>
      <c r="D71" s="2" t="inlineStr">
        <is>
          <t>Chapter 51</t>
        </is>
      </c>
      <c r="E71" s="2" t="inlineStr">
        <is>
          <t>Define the structural relationship between the Fact Graph, Ontology Mesh, and Provenance Ledger as coordinated views over one substrate.</t>
        </is>
      </c>
      <c r="F71" s="2" t="inlineStr">
        <is>
          <t>Structural rule: The Fact Graph, Ontology Mesh and Provenance Ledger are addressable as one structure over which a single scope description resolves.</t>
        </is>
      </c>
      <c r="G71" s="2" t="inlineStr"/>
    </row>
    <row r="72">
      <c r="A72" s="2" t="n">
        <v>71</v>
      </c>
      <c r="B72" s="2" t="inlineStr">
        <is>
          <t>Adaptive Response Engine (ARE, pipeline)</t>
        </is>
      </c>
      <c r="C72" s="2" t="inlineStr">
        <is>
          <t>Retrieval &amp; Response</t>
        </is>
      </c>
      <c r="D72" s="2" t="inlineStr">
        <is>
          <t>§52.8</t>
        </is>
      </c>
      <c r="E72" s="2" t="inlineStr">
        <is>
          <t>Analyze the candidate Fact Units retrieved for a specific query.</t>
        </is>
      </c>
      <c r="F72" s="2" t="inlineStr">
        <is>
          <t>Structural rule: Response profile resolution completes before generation begins; the directive is fixed for the response and is not renegotiated mid-generation.</t>
        </is>
      </c>
      <c r="G72" s="2" t="inlineStr"/>
    </row>
    <row r="73">
      <c r="A73" s="2" t="n">
        <v>72</v>
      </c>
      <c r="B73" s="2" t="inlineStr">
        <is>
          <t>World Aware System Model (WASM)</t>
        </is>
      </c>
      <c r="C73" s="2" t="inlineStr">
        <is>
          <t>World Model &amp; Perception</t>
        </is>
      </c>
      <c r="D73" s="2" t="inlineStr">
        <is>
          <t>Chapter 53</t>
        </is>
      </c>
      <c r="E73" s="2" t="inlineStr">
        <is>
          <t>Maintain Object, Relation, Physics, and Affordance layers as Fact Units, queryable by IQR for scene instantiation.</t>
        </is>
      </c>
      <c r="F73" s="2" t="inlineStr">
        <is>
          <t>Structural rule: Object, Relation, Physics and Affordance layers are maintained as Fact Units and are queryable on the same terms as any other record.</t>
        </is>
      </c>
      <c r="G73" s="2" t="inlineStr"/>
    </row>
    <row r="74">
      <c r="A74" s="2" t="n">
        <v>73</v>
      </c>
      <c r="B74" s="2" t="inlineStr">
        <is>
          <t>Conceptual Memory Layer (CML)</t>
        </is>
      </c>
      <c r="C74" s="2" t="inlineStr">
        <is>
          <t>Ontology &amp; Conceptual Structure</t>
        </is>
      </c>
      <c r="D74" s="2" t="inlineStr">
        <is>
          <t>Chapter 54</t>
        </is>
      </c>
      <c r="E74" s="2" t="inlineStr">
        <is>
          <t>Persist long-term, stable world-model abstractions distinct from the transient Cognitive Context Window.</t>
        </is>
      </c>
      <c r="F74" s="2" t="inlineStr">
        <is>
          <t>Structural rule: An abstraction persisted to long-term store retains the generalized concept and discards the episode it derived from.</t>
        </is>
      </c>
      <c r="G74" s="2" t="inlineStr"/>
    </row>
    <row r="75">
      <c r="A75" s="2" t="n">
        <v>74</v>
      </c>
      <c r="B75" s="2" t="inlineStr">
        <is>
          <t>Sensory Abstraction Pipeline (SAP)</t>
        </is>
      </c>
      <c r="C75" s="2" t="inlineStr">
        <is>
          <t>Ingestion &amp; Sensory Intake</t>
        </is>
      </c>
      <c r="D75" s="2" t="inlineStr">
        <is>
          <t>Chapter 55</t>
        </is>
      </c>
      <c r="E75" s="2" t="inlineStr">
        <is>
          <t>Reduce raw perceptual input to structured concept-level Fact Units suitable for WASM/CML consumption.</t>
        </is>
      </c>
      <c r="F75" s="2" t="inlineStr">
        <is>
          <t>Structural rule: Raw perceptual input is reduced to concept-level records before admission; no raw episode is admitted to the concept store.</t>
        </is>
      </c>
      <c r="G75" s="2" t="inlineStr"/>
    </row>
    <row r="76">
      <c r="A76" s="2" t="n">
        <v>75</v>
      </c>
      <c r="B76" s="2" t="inlineStr">
        <is>
          <t>VCUM Semantic Colorization Engine (SCE)</t>
        </is>
      </c>
      <c r="C76" s="2" t="inlineStr">
        <is>
          <t>Authoring, Editions &amp; Publication</t>
        </is>
      </c>
      <c r="D76" s="2" t="inlineStr">
        <is>
          <t>§44.3.1</t>
        </is>
      </c>
      <c r="E76" s="2" t="inlineStr">
        <is>
          <t>Infer color for content lacking reliable existing color information from material class, lighting, and historical priors.</t>
        </is>
      </c>
      <c r="F76" s="2" t="inlineStr">
        <is>
          <t>Deterministic: identical inputs always yield the identical inferred color.</t>
        </is>
      </c>
      <c r="G76" s="2" t="inlineStr"/>
    </row>
    <row r="77">
      <c r="A77" s="2" t="n">
        <v>76</v>
      </c>
      <c r="B77" s="2" t="inlineStr">
        <is>
          <t>VCUM Agent Specifications</t>
        </is>
      </c>
      <c r="C77" s="2" t="inlineStr">
        <is>
          <t>Authoring, Editions &amp; Publication</t>
        </is>
      </c>
      <c r="D77" s="2" t="inlineStr">
        <is>
          <t>Chapter 45</t>
        </is>
      </c>
      <c r="E77" s="2" t="inlineStr">
        <is>
          <t>Define the per-agent task decomposition within the VCUM restoration pipeline.</t>
        </is>
      </c>
      <c r="F77" s="2" t="inlineStr">
        <is>
          <t>Structural rule: Each restoration agent performs exactly the task its specification declares; an agent performs no task outside its declared decomposition.</t>
        </is>
      </c>
      <c r="G77" s="2" t="inlineStr"/>
    </row>
    <row r="78">
      <c r="A78" s="2" t="n">
        <v>77</v>
      </c>
      <c r="B78" s="2" t="inlineStr">
        <is>
          <t>Live Fact Graph</t>
        </is>
      </c>
      <c r="C78" s="2" t="inlineStr">
        <is>
          <t>External Integration &amp; Analysis</t>
        </is>
      </c>
      <c r="D78" s="2" t="inlineStr">
        <is>
          <t>§49.2</t>
        </is>
      </c>
      <c r="E78" s="2" t="inlineStr">
        <is>
          <t>Maintain a continuously-updating layer of the Fact Graph reflecting the most recent ingested/inferred state.</t>
        </is>
      </c>
      <c r="F78" s="2" t="inlineStr">
        <is>
          <t>Structural rule: The live layer is read as an overlay on the committed layer; a provisional provenance reference is finalized on durable write and never altered thereafter.</t>
        </is>
      </c>
      <c r="G78" s="2" t="inlineStr"/>
    </row>
    <row r="79">
      <c r="A79" s="2" t="n">
        <v>78</v>
      </c>
      <c r="B79" s="2" t="inlineStr">
        <is>
          <t>Continuous Query Engine (CQE)</t>
        </is>
      </c>
      <c r="C79" s="2" t="inlineStr">
        <is>
          <t>External Integration &amp; Analysis</t>
        </is>
      </c>
      <c r="D79" s="2" t="inlineStr">
        <is>
          <t>§49.5</t>
        </is>
      </c>
      <c r="E79" s="2" t="inlineStr">
        <is>
          <t>Register a WATCH program with a trigger clause; re-evaluate on every relevant update, re-checking Prime Directive compliance at each firing.</t>
        </is>
      </c>
      <c r="F79" s="2" t="inlineStr">
        <is>
          <t>Re-evaluation happens on every firing, not once at registration — the count of checks equals the count of firings.</t>
        </is>
      </c>
      <c r="G79" s="2">
        <f>5*1</f>
        <v/>
      </c>
    </row>
    <row r="80">
      <c r="A80" s="2" t="n">
        <v>79</v>
      </c>
      <c r="B80" s="2" t="inlineStr">
        <is>
          <t>Structural Groundedness Enforcement</t>
        </is>
      </c>
      <c r="C80" s="2" t="inlineStr">
        <is>
          <t>Grounded Expression</t>
        </is>
      </c>
      <c r="D80" s="2" t="inlineStr">
        <is>
          <t>§16 / Narrative Graph</t>
        </is>
      </c>
      <c r="E80" s="2" t="inlineStr">
        <is>
          <t>Restrict candidate output vocabulary to terms derivable from Narrative Graph edges traceable to supporting Fact Units; reject untraceable propositions.</t>
        </is>
      </c>
      <c r="F80" s="2" t="inlineStr">
        <is>
          <t>A proposition is rejected unless it traces to at least one supporting Fact Unit.</t>
        </is>
      </c>
      <c r="G80" s="2">
        <f>IF(1&gt;=1,"Include in Output","Reject - Ungrounded")</f>
        <v/>
      </c>
    </row>
    <row r="81">
      <c r="A81" s="2" t="n">
        <v>80</v>
      </c>
      <c r="B81" s="2" t="inlineStr">
        <is>
          <t>Offline Synchronization Layer</t>
        </is>
      </c>
      <c r="C81" s="2" t="inlineStr">
        <is>
          <t>Knowledge Substrate</t>
        </is>
      </c>
      <c r="D81" s="2" t="inlineStr">
        <is>
          <t>Chapter 68</t>
        </is>
      </c>
      <c r="E81" s="2" t="inlineStr">
        <is>
          <t>Select a sync mode based on connectivity; reconcile divergent offline/online states via version-vector comparison on reconnection.</t>
        </is>
      </c>
      <c r="F81" s="2" t="inlineStr">
        <is>
          <t>Reconciliation is required whenever the offline and online version vectors differ.</t>
        </is>
      </c>
      <c r="G81" s="2">
        <f>IF(4&lt;&gt;7,"Reconciliation Required","Already in Sync")</f>
        <v/>
      </c>
    </row>
    <row r="82">
      <c r="A82" s="2" t="n">
        <v>81</v>
      </c>
      <c r="B82" s="2" t="inlineStr">
        <is>
          <t>Portal / Role Model</t>
        </is>
      </c>
      <c r="C82" s="2" t="inlineStr">
        <is>
          <t>Access, Rights &amp; Retention</t>
        </is>
      </c>
      <c r="D82" s="2" t="inlineStr">
        <is>
          <t>Chapter 65</t>
        </is>
      </c>
      <c r="E82" s="2" t="inlineStr">
        <is>
          <t>AdminChapter 65Platform Admin Resolve an identity's accessible capabilities as the union of held Role(s) plus active capability grants, each evaluated independently.</t>
        </is>
      </c>
      <c r="F82" s="2" t="inlineStr">
        <is>
          <t>Access to a capability is the logical OR of role-based and grant-based access, never merged into a combined elevated set.</t>
        </is>
      </c>
      <c r="G82" s="2">
        <f>IF(OR(FALSE(),TRUE()),"Access Granted","Denied")</f>
        <v/>
      </c>
    </row>
    <row r="83">
      <c r="A83" s="2" t="n">
        <v>82</v>
      </c>
      <c r="B83" s="2" t="inlineStr">
        <is>
          <t>Improvement Proposal Pipeline</t>
        </is>
      </c>
      <c r="C83" s="2" t="inlineStr">
        <is>
          <t>Platform Governance &amp; Evolution</t>
        </is>
      </c>
      <c r="D83" s="2" t="inlineStr">
        <is>
          <t>Chapter 66</t>
        </is>
      </c>
      <c r="E83" s="2" t="inlineStr">
        <is>
          <t>AdminChapter 66Platform Admin Telemetry-driven or human-directed identification of a subsystem-scoped improvement candidate.</t>
        </is>
      </c>
      <c r="F83" s="2" t="inlineStr">
        <is>
          <t>Structural rule: A candidate is scoped to a single subsystem; a candidate targeting a member of the permanently-excluded set is refused at identification.</t>
        </is>
      </c>
      <c r="G83" s="2" t="inlineStr"/>
    </row>
    <row r="84">
      <c r="A84" s="2" t="n">
        <v>83</v>
      </c>
      <c r="B84" s="2" t="inlineStr">
        <is>
          <t>QueryBook AI Evolution (System Agents)</t>
        </is>
      </c>
      <c r="C84" s="2" t="inlineStr">
        <is>
          <t>Platform Governance &amp; Evolution</t>
        </is>
      </c>
      <c r="D84" s="2" t="inlineStr">
        <is>
          <t>Chapter 78</t>
        </is>
      </c>
      <c r="E84" s="2" t="inlineStr">
        <is>
          <t>AdminChapter 78Platform Admin A System Agent's Candidate Identification is bounded to its assigned subsystem; resulting proposals enter the identical pipeline as any human-originated candidate.</t>
        </is>
      </c>
      <c r="F84" s="2" t="inlineStr">
        <is>
          <t>An agent cannot approve its own or another agent's proposal.</t>
        </is>
      </c>
      <c r="G84" s="2">
        <f>IF("agent_3"="reviewer_id","Self-Approval Blocked","Independent Review Required")</f>
        <v/>
      </c>
    </row>
    <row r="85">
      <c r="A85" s="2" t="n">
        <v>84</v>
      </c>
      <c r="B85" s="2" t="inlineStr">
        <is>
          <t>Formal Verification Layer</t>
        </is>
      </c>
      <c r="C85" s="2" t="inlineStr">
        <is>
          <t>Platform Governance &amp; Evolution</t>
        </is>
      </c>
      <c r="D85" s="2" t="inlineStr">
        <is>
          <t>Chapter 79</t>
        </is>
      </c>
      <c r="E85" s="2" t="inlineStr">
        <is>
          <t>AdminChapter 79Platform Admin Generate a machine-checked proof of a precisely-stated property for a QBPL/WATCH program or proposal.</t>
        </is>
      </c>
      <c r="F85" s="2" t="inlineStr">
        <is>
          <t>Property truth is decidable over the bounded QBPL primitive set.</t>
        </is>
      </c>
      <c r="G85" s="2">
        <f>IF(TRUE(),"Property Proven","Proof Failed - Property False")</f>
        <v/>
      </c>
    </row>
    <row r="86">
      <c r="A86" s="2" t="n">
        <v>85</v>
      </c>
      <c r="B86" s="2" t="inlineStr">
        <is>
          <t>License and Entitlement Management</t>
        </is>
      </c>
      <c r="C86" s="2" t="inlineStr">
        <is>
          <t>Access, Rights &amp; Retention</t>
        </is>
      </c>
      <c r="D86" s="2" t="inlineStr">
        <is>
          <t>Chapter 67</t>
        </is>
      </c>
      <c r="E86" s="2" t="inlineStr">
        <is>
          <t>AdminChapter 67Platform Admin Map an organizational license to Role-scoped seats; check seat and entitlement status before granting access.</t>
        </is>
      </c>
      <c r="F86" s="2" t="inlineStr">
        <is>
          <t>Access requires both an available seat and the specific entitlement.</t>
        </is>
      </c>
      <c r="G86" s="2">
        <f>IF(AND(TRUE(),TRUE()),"Access Granted","Denied - Missing Seat or Entitlement")</f>
        <v/>
      </c>
    </row>
    <row r="87">
      <c r="A87" s="2" t="n">
        <v>86</v>
      </c>
      <c r="B87" s="2" t="inlineStr">
        <is>
          <t>QBCL-CMS (Configuration Management)</t>
        </is>
      </c>
      <c r="C87" s="2" t="inlineStr">
        <is>
          <t>Platform Governance &amp; Evolution</t>
        </is>
      </c>
      <c r="D87" s="2" t="inlineStr">
        <is>
          <t>Chapter 47</t>
        </is>
      </c>
      <c r="E87" s="2" t="inlineStr">
        <is>
          <t>AdminChapter 47Platform Admin Parse and apply platform-level configuration changes through a defined configuration language, versioned like any other change.</t>
        </is>
      </c>
      <c r="F87" s="2" t="inlineStr">
        <is>
          <t>Structural rule: A configuration change is versioned and recorded on the same terms as any other change; an unversioned change is not applied.</t>
        </is>
      </c>
      <c r="G87" s="2" t="inlineStr"/>
    </row>
    <row r="88">
      <c r="A88" s="2" t="n">
        <v>87</v>
      </c>
      <c r="B88" s="2" t="inlineStr">
        <is>
          <t>Source Connector Registry</t>
        </is>
      </c>
      <c r="C88" s="2" t="inlineStr">
        <is>
          <t>External Integration &amp; Analysis</t>
        </is>
      </c>
      <c r="D88" s="2" t="inlineStr">
        <is>
          <t>§49.3.3</t>
        </is>
      </c>
      <c r="E88" s="2" t="inlineStr">
        <is>
          <t>Admin§49.3.3Platform Admin / Author Register an external system against a fixed contract; evaluate every connector under the identical Trust Boundary regardless of name.</t>
        </is>
      </c>
      <c r="F88" s="2" t="inlineStr">
        <is>
          <t>Trust level is identical for every registered connector — not a function of the platform's name or popularity.</t>
        </is>
      </c>
      <c r="G88" s="2">
        <f>IF("Zoom"&lt;&gt;"Trust Level","Standard Trust Boundary","Standard Trust Boundary")</f>
        <v/>
      </c>
    </row>
    <row r="89">
      <c r="A89" s="2" t="n">
        <v>88</v>
      </c>
      <c r="B89" s="2" t="inlineStr">
        <is>
          <t>Robot Memory Domain (RMD)</t>
        </is>
      </c>
      <c r="C89" s="2" t="inlineStr">
        <is>
          <t>World Model &amp; Perception</t>
        </is>
      </c>
      <c r="D89" s="2" t="inlineStr">
        <is>
          <t>Chapter 56</t>
        </is>
      </c>
      <c r="E89" s="2" t="inlineStr">
        <is>
          <t>AdminChapter 56Integration Operator Ingest robot/agent sensor data into Fact Units; deliver structured knowledge back; support WATCH-driven continuous behavior.</t>
        </is>
      </c>
      <c r="F89" s="2" t="inlineStr">
        <is>
          <t>Structural rule: Sensor data enters through the ordinary ingestion path and structured knowledge is returned; no raw sensory episode from an agent is retained.</t>
        </is>
      </c>
      <c r="G89" s="2" t="inlineStr"/>
    </row>
    <row r="90">
      <c r="A90" s="2" t="n">
        <v>89</v>
      </c>
      <c r="B90" s="2" t="inlineStr">
        <is>
          <t>Template Debug Mode</t>
        </is>
      </c>
      <c r="C90" s="2" t="inlineStr">
        <is>
          <t>Platform Governance &amp; Evolution</t>
        </is>
      </c>
      <c r="D90" s="2" t="inlineStr">
        <is>
          <t>Chapter 73</t>
        </is>
      </c>
      <c r="E90" s="2" t="inlineStr">
        <is>
          <t>AdminChapter 73Platform Admin Pause execution at existing pipeline-stage boundaries, exposing Fact Unit bindings, Safety results, and Slice measurements at each pause.</t>
        </is>
      </c>
      <c r="F90" s="2" t="inlineStr">
        <is>
          <t>Structural rule: Instrumentation pauses at existing pipeline-stage boundaries of an actual execution; it introduces no stage and simulates none.</t>
        </is>
      </c>
      <c r="G90" s="2" t="inlineStr"/>
    </row>
    <row r="91">
      <c r="A91" s="2" t="n">
        <v>90</v>
      </c>
      <c r="B91" s="2" t="inlineStr">
        <is>
          <t>Processor Slice Measurement Model</t>
        </is>
      </c>
      <c r="C91" s="2" t="inlineStr">
        <is>
          <t>Platform Governance &amp; Evolution</t>
        </is>
      </c>
      <c r="D91" s="2" t="inlineStr">
        <is>
          <t>Chapter 69</t>
        </is>
      </c>
      <c r="E91" s="2" t="inlineStr">
        <is>
          <t>AdminChapter 69Platform Admin Classify and log the compute cost of every operation into a defined Slice category; Safety Gate and Recovery Slices are prioritized above all others.</t>
        </is>
      </c>
      <c r="F91" s="2" t="inlineStr">
        <is>
          <t>Safety Gate priority always outranks any other Slice category when contended.</t>
        </is>
      </c>
      <c r="G91" s="2">
        <f>IF("SafetyGate"="SafetyGate","Highest Priority","Standard Priority")</f>
        <v/>
      </c>
    </row>
    <row r="92">
      <c r="A92" s="2" t="n">
        <v>91</v>
      </c>
      <c r="B92" s="2" t="inlineStr">
        <is>
          <t>Validation and Benchmarking</t>
        </is>
      </c>
      <c r="C92" s="2" t="inlineStr">
        <is>
          <t>Platform Governance &amp; Evolution</t>
        </is>
      </c>
      <c r="D92" s="2" t="inlineStr">
        <is>
          <t>Chapter 77</t>
        </is>
      </c>
      <c r="E92" s="2" t="inlineStr">
        <is>
          <t>AdminChapter 77Platform Admin Define a reproducible benchmark for an existing design-target figure; run it and mark the figure validated or retract it.</t>
        </is>
      </c>
      <c r="F92" s="2" t="inlineStr">
        <is>
          <t>A design-target figure is validated only if the measured result falls within its stated tolerance.</t>
        </is>
      </c>
      <c r="G92" s="2">
        <f>IF(ABS(102-100)&lt;=5,"Validated","Retracted - Out of Tolerance")</f>
        <v/>
      </c>
    </row>
    <row r="93">
      <c r="A93" s="2" t="n">
        <v>92</v>
      </c>
      <c r="B93" s="2" t="inlineStr">
        <is>
          <t>Platform Internationalization</t>
        </is>
      </c>
      <c r="C93" s="2" t="inlineStr">
        <is>
          <t>Platform Governance &amp; Evolution</t>
        </is>
      </c>
      <c r="D93" s="2" t="inlineStr">
        <is>
          <t>Chapter 76</t>
        </is>
      </c>
      <c r="E93" s="2" t="inlineStr">
        <is>
          <t>AdminChapter 76Platform Admin Apply locale-specific presentation without altering Safety Substrate or Prime Directive evaluation in any locale.</t>
        </is>
      </c>
      <c r="F93" s="2" t="inlineStr">
        <is>
          <t>Safety evaluation outcome is identical regardless of locale.</t>
        </is>
      </c>
      <c r="G93" s="2">
        <f>IF(TRUE()=TRUE(),"Same Safety Outcome Every Locale","N/A")</f>
        <v/>
      </c>
    </row>
    <row r="94">
      <c r="A94" s="2" t="n">
        <v>93</v>
      </c>
      <c r="B94" s="2" t="inlineStr">
        <is>
          <t>Moderation Actions</t>
        </is>
      </c>
      <c r="C94" s="2" t="inlineStr">
        <is>
          <t>Platform Governance &amp; Evolution</t>
        </is>
      </c>
      <c r="D94" s="2" t="inlineStr">
        <is>
          <t>§64.4</t>
        </is>
      </c>
      <c r="E94" s="2" t="inlineStr">
        <is>
          <t>Admin§64.4Author / Instructor / Platform Admin Apply a flag/hide/lock/archive action to target content, logging moderator identity and reason; reversible only via Appeals.</t>
        </is>
      </c>
      <c r="F94" s="2" t="inlineStr">
        <is>
          <t>An action is applied only if the flag count for the content reaches the configured threshold.</t>
        </is>
      </c>
      <c r="G94" s="2">
        <f>IF(4&gt;=3,"Action Applied","Below Threshold - No Action")</f>
        <v/>
      </c>
    </row>
    <row r="95">
      <c r="A95" s="2" t="n">
        <v>94</v>
      </c>
      <c r="B95" s="2" t="inlineStr">
        <is>
          <t>Deployment Architecture</t>
        </is>
      </c>
      <c r="C95" s="2" t="inlineStr">
        <is>
          <t>Platform Governance &amp; Evolution</t>
        </is>
      </c>
      <c r="D95" s="2" t="inlineStr">
        <is>
          <t>Chapter 19</t>
        </is>
      </c>
      <c r="E95" s="2" t="inlineStr">
        <is>
          <t>AdminChapter 19Platform Admin Roll out an approved change in stages rather than all at once.</t>
        </is>
      </c>
      <c r="F95" s="2" t="inlineStr">
        <is>
          <t>Structural rule: Progression to each successive rollout stage is conditioned on the recorded human approval; no stage advances automatically.</t>
        </is>
      </c>
      <c r="G95" s="2" t="inlineStr"/>
    </row>
    <row r="96">
      <c r="A96" s="2" t="n">
        <v>95</v>
      </c>
      <c r="B96" s="2" t="inlineStr">
        <is>
          <t>Optional Blockchain Ownership-Verification Connector</t>
        </is>
      </c>
      <c r="C96" s="2" t="inlineStr">
        <is>
          <t>External Integration &amp; Analysis</t>
        </is>
      </c>
      <c r="D96" s="2" t="inlineStr">
        <is>
          <t>§49.3.3.8</t>
        </is>
      </c>
      <c r="E96" s="2" t="inlineStr">
        <is>
          <t>Admin§49.3.3.8Publisher On a resale/transfer request for a title with this connector registered, dispatch a verification query to the external service; QueryBook remains the requesting party only.</t>
        </is>
      </c>
      <c r="F96" s="2" t="inlineStr">
        <is>
          <t>Structural rule: A verification request is dispatched only for the specific title and only to the requesting party; no ownership record is retained by the system.</t>
        </is>
      </c>
      <c r="G96" s="2" t="inlineStr"/>
    </row>
    <row r="97">
      <c r="A97" s="2" t="n">
        <v>96</v>
      </c>
      <c r="B97" s="2" t="inlineStr">
        <is>
          <t>Live Interaction Voice Signal Analysis</t>
        </is>
      </c>
      <c r="C97" s="2" t="inlineStr">
        <is>
          <t>External Integration &amp; Analysis</t>
        </is>
      </c>
      <c r="D97" s="2" t="inlineStr">
        <is>
          <t>Chapter 87</t>
        </is>
      </c>
      <c r="E97" s="2" t="inlineStr">
        <is>
          <t>User-facingChapter 87Reader If user has opted in for the session, extract prosodic features from live audio and feed as an optional trigger to the Clarification Generation Engine; discard on session end unless separately retained.</t>
        </is>
      </c>
      <c r="F97" s="2" t="inlineStr">
        <is>
          <t>Analysis runs only where session consent is active and the prosodic salience clears the trigger threshold.</t>
        </is>
      </c>
      <c r="G97" s="2">
        <f>IF(AND(TRUE(),0.71&gt;=0.65),"Clarification trigger raised","No trigger")</f>
        <v/>
      </c>
    </row>
    <row r="98">
      <c r="A98" s="2" t="n">
        <v>97</v>
      </c>
      <c r="B98" s="2" t="inlineStr">
        <is>
          <t>World-View Model (WVM)</t>
        </is>
      </c>
      <c r="C98" s="2" t="inlineStr">
        <is>
          <t>World Model &amp; Perception</t>
        </is>
      </c>
      <c r="D98" s="2" t="inlineStr">
        <is>
          <t>§42.2.1System</t>
        </is>
      </c>
      <c r="E98" s="2" t="inlineStr">
        <is>
          <t>Maintain the native ontological, causal, and temporal structure underlying QueryBook's own reasoning, distinct from WASM's world-model domain and from any external hypergraph substrate.</t>
        </is>
      </c>
      <c r="F98" s="2" t="inlineStr">
        <is>
          <t>Structural rule: The ontological, causal and temporal structure is maintained natively; no external model is required to express it.</t>
        </is>
      </c>
      <c r="G98" s="2" t="inlineStr"/>
    </row>
    <row r="99">
      <c r="A99" s="2" t="n">
        <v>98</v>
      </c>
      <c r="B99" s="2" t="inlineStr">
        <is>
          <t>Contextual Commerce Layer</t>
        </is>
      </c>
      <c r="C99" s="2" t="inlineStr">
        <is>
          <t>Commerce &amp; Entitlement Tokens</t>
        </is>
      </c>
      <c r="D99" s="2" t="inlineStr">
        <is>
          <t>Chapter 88</t>
        </is>
      </c>
      <c r="E99" s="2" t="inlineStr">
        <is>
          <t>User-facingChapter 88Reader After grounded answer is fully computed, resolve query's concept_id; match against registered commerce sources; render in separate labeled region.</t>
        </is>
      </c>
      <c r="F99" s="2" t="inlineStr">
        <is>
          <t>priority(Commerce Slice) &lt; priority(Safety Gate Slice) for all t</t>
        </is>
      </c>
      <c r="G99" s="2">
        <f>IF(AND(A2="grounded_complete",B2="concept_resolved"),"eligible_for_commerce_match","blocked")</f>
        <v/>
      </c>
    </row>
    <row r="100">
      <c r="A100" s="2" t="n">
        <v>99</v>
      </c>
      <c r="B100" s="2" t="inlineStr">
        <is>
          <t>Commerce Processing Slice and Selection Weighting</t>
        </is>
      </c>
      <c r="C100" s="2" t="inlineStr">
        <is>
          <t>Commerce &amp; Entitlement Tokens</t>
        </is>
      </c>
      <c r="D100" s="2" t="inlineStr">
        <is>
          <t>§88.8–§88.9System</t>
        </is>
      </c>
      <c r="E100" s="2" t="inlineStr">
        <is>
          <t>Meter each commerce operation as a bounded Slice; where multiple candidates match a resolved concept_id, select via a weighted combination of relevance, source priority, and bid, applied only to already-matched candidates.</t>
        </is>
      </c>
      <c r="F100" s="2" t="inlineStr">
        <is>
          <t>score = w1*relevance + w2*source_priority + w3*bid, Σw=1</t>
        </is>
      </c>
      <c r="G100" s="2">
        <f>SUMPRODUCT({0.4,0.3,0.3},{0.9,0.7,0.6})</f>
        <v/>
      </c>
    </row>
    <row r="101">
      <c r="A101" s="2" t="n">
        <v>100</v>
      </c>
      <c r="B101" s="2" t="inlineStr">
        <is>
          <t>Commerce Optimization Proposals</t>
        </is>
      </c>
      <c r="C101" s="2" t="inlineStr">
        <is>
          <t>Commerce &amp; Entitlement Tokens</t>
        </is>
      </c>
      <c r="D101" s="2" t="inlineStr">
        <is>
          <t>§88.10</t>
        </is>
      </c>
      <c r="E101" s="2" t="inlineStr">
        <is>
          <t>Admin§88.10System Agent / Human Reviewer Route any proposed change to commerce targeting or bid weighting through Chapter 66's full Simulation Sandbox, Pre-Screening, and Human Review Gate; no autonomous deployment path exists for commerce optimization.</t>
        </is>
      </c>
      <c r="F101" s="2" t="inlineStr">
        <is>
          <t>Structural rule: A proposed commerce change enters the full improvement-proposal gate; no commerce parameter changes without a recorded human approval.</t>
        </is>
      </c>
      <c r="G101" s="2" t="inlineStr"/>
    </row>
    <row r="102">
      <c r="A102" s="2" t="n">
        <v>101</v>
      </c>
      <c r="B102" s="2" t="inlineStr">
        <is>
          <t>Merchandise Commerce and Fulfillment Handoff</t>
        </is>
      </c>
      <c r="C102" s="2" t="inlineStr">
        <is>
          <t>Commerce &amp; Entitlement Tokens</t>
        </is>
      </c>
      <c r="D102" s="2" t="inlineStr">
        <is>
          <t>§88.12</t>
        </is>
      </c>
      <c r="E102" s="2" t="inlineStr">
        <is>
          <t>User-facing§88.12Publisher / Reader On merchandise purchase intent, dispatch a scoped referral to a registered external commerce platform via the Source Connector Registry; QueryBook never captures payment data, processes payment, or acts as fulfillment operator.</t>
        </is>
      </c>
      <c r="F102" s="2" t="inlineStr">
        <is>
          <t>Structural rule: A merchandise referral is scoped to the referring party alone; the system takes no custody of the transaction.</t>
        </is>
      </c>
      <c r="G102" s="2" t="inlineStr"/>
    </row>
    <row r="103">
      <c r="A103" s="2" t="n">
        <v>102</v>
      </c>
      <c r="B103" s="2" t="inlineStr">
        <is>
          <t>System Identity and Positioning</t>
        </is>
      </c>
      <c r="C103" s="2" t="inlineStr">
        <is>
          <t>Platform Governance &amp; Evolution</t>
        </is>
      </c>
      <c r="D103" s="2" t="inlineStr">
        <is>
          <t>Chapter 86</t>
        </is>
      </c>
      <c r="E103" s="2" t="inlineStr">
        <is>
          <t>AdminChapter 86Operator On any external summary request, resolve claims against §86's stated differentiators and corrections rather than unverified external description.</t>
        </is>
      </c>
      <c r="F103" s="2" t="inlineStr">
        <is>
          <t>Structural rule: An external summary is resolved against the stated differentiators and corrected where it overstates them; no uncorrected overclaim is issued.</t>
        </is>
      </c>
      <c r="G103" s="2" t="inlineStr"/>
    </row>
    <row r="104">
      <c r="A104" s="2" t="n">
        <v>103</v>
      </c>
      <c r="B104" s="2" t="inlineStr">
        <is>
          <t>Native QueryBook Reader</t>
        </is>
      </c>
      <c r="C104" s="2" t="inlineStr">
        <is>
          <t>Interaction Surfaces</t>
        </is>
      </c>
      <c r="D104" s="2" t="inlineStr">
        <is>
          <t>Chapter 89</t>
        </is>
      </c>
      <c r="E104" s="2" t="inlineStr">
        <is>
          <t>User-facingChapter 89Reader Render EPUB 3.3 content as a conformant Reading System; QueryBook interactions triggered by ignorable data-qb-* attributes on otherwise-standard markup.</t>
        </is>
      </c>
      <c r="F104" s="2" t="inlineStr">
        <is>
          <t>Structural rule: Reading-system conformance is maintained independently of QueryBook interaction; interaction adds capability and removes no conformant behaviour.</t>
        </is>
      </c>
      <c r="G104" s="2" t="inlineStr"/>
    </row>
    <row r="105">
      <c r="A105" s="2" t="n">
        <v>104</v>
      </c>
      <c r="B105" s="2" t="inlineStr">
        <is>
          <t>Deployment Modes and Domain Packages</t>
        </is>
      </c>
      <c r="C105" s="2" t="inlineStr">
        <is>
          <t>Platform Governance &amp; Evolution</t>
        </is>
      </c>
      <c r="D105" s="2" t="inlineStr">
        <is>
          <t>Chapter 90</t>
        </is>
      </c>
      <c r="E105" s="2" t="inlineStr">
        <is>
          <t>AdminChapter 90Operator Run identical logical services across Cloud SaaS, Local Server, and Single Device modes, differing only in hosting topology, not specification.</t>
        </is>
      </c>
      <c r="F105" s="2" t="inlineStr">
        <is>
          <t>Structural rule: The same logical services execute in every deployment mode; a mode changes where a service runs and not which service owns a decision.</t>
        </is>
      </c>
      <c r="G105" s="2" t="inlineStr"/>
    </row>
    <row r="106">
      <c r="A106" s="2" t="n">
        <v>105</v>
      </c>
      <c r="B106" s="2" t="inlineStr">
        <is>
          <t>Personal Object Location</t>
        </is>
      </c>
      <c r="C106" s="2" t="inlineStr">
        <is>
          <t>World Model &amp; Perception</t>
        </is>
      </c>
      <c r="D106" s="2" t="inlineStr">
        <is>
          <t>Chapter 91</t>
        </is>
      </c>
      <c r="E106" s="2" t="inlineStr">
        <is>
          <t>User-facingChapter 91User On consented live feed, classify inanimate objects/materials against WASM Object Layer; discard any person/animal-classified result; represent as session-scoped record.</t>
        </is>
      </c>
      <c r="F106" s="2" t="inlineStr">
        <is>
          <t>Structural rule: Classification is restricted to inanimate objects and materials; a person- or animal-classified result is excluded from the result set entirely.</t>
        </is>
      </c>
      <c r="G106" s="2">
        <f>IF(OR("person"="person","person"="animal"),"discard","surface_result")</f>
        <v/>
      </c>
    </row>
    <row r="107">
      <c r="A107" s="2" t="n">
        <v>106</v>
      </c>
      <c r="B107" s="2" t="inlineStr">
        <is>
          <t>Sensory-Annotated Content Playback</t>
        </is>
      </c>
      <c r="C107" s="2" t="inlineStr">
        <is>
          <t>Ingestion &amp; Sensory Intake</t>
        </is>
      </c>
      <c r="D107" s="2" t="inlineStr">
        <is>
          <t>Chapter 92</t>
        </is>
      </c>
      <c r="E107" s="2" t="inlineStr">
        <is>
          <t>User-facingChapter 92Reader On content with a sensory profile attribute, play audio/visual/device-haptic output via device-native APIs only; opt-in for audio/haptic, default-on for passive visual effects.</t>
        </is>
      </c>
      <c r="F107" s="2" t="inlineStr">
        <is>
          <t>Structural rule: Sensory output plays only where the content carries an authored sensory profile; no output is triggered by an inferred state.</t>
        </is>
      </c>
      <c r="G107" s="2" t="inlineStr"/>
    </row>
    <row r="108">
      <c r="A108" s="2" t="n">
        <v>107</v>
      </c>
      <c r="B108" s="2" t="inlineStr">
        <is>
          <t>Audio Narration</t>
        </is>
      </c>
      <c r="C108" s="2" t="inlineStr">
        <is>
          <t>Grounded Expression</t>
        </is>
      </c>
      <c r="D108" s="2" t="inlineStr">
        <is>
          <t>Chapter 93</t>
        </is>
      </c>
      <c r="E108" s="2" t="inlineStr">
        <is>
          <t>User-facingChapter 93Author / Reader Select author's own recorded narration if it exists for requested content; else use generic non-cloned synthetic voice profile; never approximate a specific real voice absent that person's own recording.</t>
        </is>
      </c>
      <c r="F108" s="2" t="inlineStr">
        <is>
          <t>Structural rule: The author's own recorded asset is selected where it exists; otherwise a generic profile with no correspondence to a specific person is used.</t>
        </is>
      </c>
      <c r="G108" s="2">
        <f>IF(TRUE()=TRUE(),"use_recorded","use_generic_synthetic")</f>
        <v/>
      </c>
    </row>
    <row r="109">
      <c r="A109" s="2" t="n">
        <v>108</v>
      </c>
      <c r="B109" s="2" t="inlineStr">
        <is>
          <t>NFT Integration Layer</t>
        </is>
      </c>
      <c r="C109" s="2" t="inlineStr">
        <is>
          <t>Commerce &amp; Entitlement Tokens</t>
        </is>
      </c>
      <c r="D109" s="2" t="inlineStr">
        <is>
          <t>Chapter 94</t>
        </is>
      </c>
      <c r="E109" s="2" t="inlineStr">
        <is>
          <t>AdminChapter 94Publisher Mint a token representing an already-established license-scoped entitlement via a registered external minting service, transferred directly to the rights holder's own wallet; resolve every read against the entitlement record, which always governs on conflict.</t>
        </is>
      </c>
      <c r="F109" s="2" t="inlineStr">
        <is>
          <t>Structural rule: A token is minted only after the entitlement exists; where token state and entitlement record diverge the entitlement record is authoritative.</t>
        </is>
      </c>
      <c r="G109" s="2" t="inlineStr"/>
    </row>
    <row r="110">
      <c r="A110" s="2" t="n">
        <v>109</v>
      </c>
      <c r="B110" s="2" t="inlineStr">
        <is>
          <t>Complementary Learning Systems Formalization</t>
        </is>
      </c>
      <c r="C110" s="2" t="inlineStr">
        <is>
          <t>Commerce &amp; Entitlement Tokens</t>
        </is>
      </c>
      <c r="D110" s="2" t="inlineStr">
        <is>
          <t>Chapter 95System</t>
        </is>
      </c>
      <c r="E110" s="2" t="inlineStr">
        <is>
          <t>Name session-scoped records as the fast/episodic system and the permanent Fact Graph as the slow/consolidated system; consolidation requires explicit user election, never automatic replay.</t>
        </is>
      </c>
      <c r="F110" s="2" t="inlineStr">
        <is>
          <t>Structural rule: The correspondence names existing mechanisms and creates none; session-scoped records and the permanent graph are unchanged by the naming.</t>
        </is>
      </c>
      <c r="G110" s="2" t="inlineStr"/>
    </row>
    <row r="111">
      <c r="A111" s="2" t="n">
        <v>110</v>
      </c>
      <c r="B111" s="2" t="inlineStr">
        <is>
          <t>Forensic Analysis of External AI System Outputs</t>
        </is>
      </c>
      <c r="C111" s="2" t="inlineStr">
        <is>
          <t>External Integration &amp; Analysis</t>
        </is>
      </c>
      <c r="D111" s="2" t="inlineStr">
        <is>
          <t>Chapter 96</t>
        </is>
      </c>
      <c r="E111" s="2" t="inlineStr">
        <is>
          <t>User-facingChapter 96Researcher Check a claim in an external AI's output against QueryBook's own Fact Graph; classify across 6 categories; self-referential language cataloged as observed text only, never a sentience determination.</t>
        </is>
      </c>
      <c r="F111" s="2" t="inlineStr">
        <is>
          <t>Structural rule: Each claim of an external output is marked supported-with-citation or unsupported; no output asserts a determination about that system's internal state.</t>
        </is>
      </c>
      <c r="G111" s="2">
        <f>IF(TRUE()=TRUE(),"grounded","unverified")</f>
        <v/>
      </c>
    </row>
    <row r="112">
      <c r="A112" s="2" t="n">
        <v>111</v>
      </c>
      <c r="B112" s="2" t="inlineStr">
        <is>
          <t>Hypothesis Generation</t>
        </is>
      </c>
      <c r="C112" s="2" t="inlineStr">
        <is>
          <t>Inference, Prediction &amp; Calibration</t>
        </is>
      </c>
      <c r="D112" s="2" t="inlineStr">
        <is>
          <t>Chapter 97</t>
        </is>
      </c>
      <c r="E112" s="2" t="inlineStr">
        <is>
          <t>User-facingChapter 97Researcher / Domain Expert Generate a hypothesis via AIQG/AEM/Scenario Graph/§10.4 triggers with status=PROPOSED; only an identified human expert may transition status to VALIDATED; no automated path exists.</t>
        </is>
      </c>
      <c r="F112" s="2" t="inlineStr">
        <is>
          <t>Structural rule: A hypothesis is created with status PROPOSED and transitions to VALIDATED only on confirmation by an identified human reviewer.</t>
        </is>
      </c>
      <c r="G112" s="2">
        <f>IF("VALIDATED"="VALIDATED","eligible_for_fact_graph","display_only")</f>
        <v/>
      </c>
    </row>
    <row r="113">
      <c r="A113" s="2" t="n">
        <v>112</v>
      </c>
      <c r="B113" s="2" t="inlineStr">
        <is>
          <t>Cognitive Map Formalization</t>
        </is>
      </c>
      <c r="C113" s="2" t="inlineStr">
        <is>
          <t>Ontology &amp; Conceptual Structure</t>
        </is>
      </c>
      <c r="D113" s="2" t="inlineStr">
        <is>
          <t>Chapter 98System</t>
        </is>
      </c>
      <c r="E113" s="2" t="inlineStr">
        <is>
          <t>Name the correspondence between §91.9's lattice indexing and the Attractor Network's Hopfield dynamics; extend deterministic lattice indexing to general Ontology Mesh concept proximity search.</t>
        </is>
      </c>
      <c r="F113" s="2" t="inlineStr">
        <is>
          <t>Same hex_coord principle as §91.9, applied to concept space, deterministic</t>
        </is>
      </c>
      <c r="G113" s="2" t="inlineStr"/>
    </row>
    <row r="114">
      <c r="A114" s="2" t="n">
        <v>113</v>
      </c>
      <c r="B114" s="2" t="inlineStr">
        <is>
          <t>Study and Learning Tools</t>
        </is>
      </c>
      <c r="C114" s="2" t="inlineStr">
        <is>
          <t>Learning &amp; Assessment</t>
        </is>
      </c>
      <c r="D114" s="2" t="inlineStr">
        <is>
          <t>Chapter 99</t>
        </is>
      </c>
      <c r="E114" s="2" t="inlineStr">
        <is>
          <t>User-facingChapter 99Student / Reader Assemble glossary entries, study guides, and staged Tutorial Mode sequences from already-grounded content; schedule flashcards via spaced-repetition interval; cluster concepts via Ontology Mesh structure.</t>
        </is>
      </c>
      <c r="F114" s="2" t="inlineStr">
        <is>
          <t>Next spaced-repetition interval is the prior interval scaled by the ease factor where recall quality clears the floor, else reset to one day.</t>
        </is>
      </c>
      <c r="G114" s="2">
        <f>IF(0.8&gt;=0.6,6*2.5,1)</f>
        <v/>
      </c>
    </row>
    <row r="115">
      <c r="A115" s="2" t="n">
        <v>114</v>
      </c>
      <c r="B115" s="2" t="inlineStr">
        <is>
          <t>Content Verification and Argumentation Tools</t>
        </is>
      </c>
      <c r="C115" s="2" t="inlineStr">
        <is>
          <t>Grounded Expression</t>
        </is>
      </c>
      <c r="D115" s="2" t="inlineStr">
        <is>
          <t>Chapter 100</t>
        </is>
      </c>
      <c r="E115" s="2" t="inlineStr">
        <is>
          <t>User-facingChapter 100Reader / Researcher Check claims against grounded Fact Graph via CDRE contradiction logic; surface existing corroboration counts; assemble grounded position arguments via Scenario Graph, never fabricating unsupported content.</t>
        </is>
      </c>
      <c r="F115" s="2" t="inlineStr">
        <is>
          <t>Structural rule: A surfaced contradiction cites the records establishing it; no conclusory characterization is generated that is not itself derivable from a record.</t>
        </is>
      </c>
      <c r="G115" s="2">
        <f>IF(TRUE()=TRUE(),"flag_with_citation","no_flag")</f>
        <v/>
      </c>
    </row>
    <row r="116">
      <c r="A116" s="2" t="n">
        <v>115</v>
      </c>
      <c r="B116" s="2" t="inlineStr">
        <is>
          <t>Manifold-Based Trend Forecasting</t>
        </is>
      </c>
      <c r="C116" s="2" t="inlineStr">
        <is>
          <t>Inference, Prediction &amp; Calibration</t>
        </is>
      </c>
      <c r="D116" s="2" t="inlineStr">
        <is>
          <t>§10.4</t>
        </is>
      </c>
      <c r="E116" s="2" t="inlineStr">
        <is>
          <t>User-facing§10.4Analyst Embed ingested time-series data into a nonlinear manifold; generate a forecast with an explicit confidence interval; render in a labeled region separate from grounded output.</t>
        </is>
      </c>
      <c r="F116" s="2" t="inlineStr">
        <is>
          <t>forecast = f(manifold_embedding(time_series)), CI computed from embedding uncertainty</t>
        </is>
      </c>
      <c r="G116" s="2">
        <f>1.96*0.8/SQRT(16)</f>
        <v/>
      </c>
    </row>
    <row r="117">
      <c r="A117" s="2" t="n">
        <v>116</v>
      </c>
      <c r="B117" s="2" t="inlineStr">
        <is>
          <t>Geometric Shape Matching / Grid-Cell Indexing</t>
        </is>
      </c>
      <c r="C117" s="2" t="inlineStr">
        <is>
          <t>World Model &amp; Perception</t>
        </is>
      </c>
      <c r="D117" s="2" t="inlineStr">
        <is>
          <t>§91.8–§91.9System</t>
        </is>
      </c>
      <c r="E117" s="2" t="inlineStr">
        <is>
          <t>Compare candidate contours via the Registration Constraint Graph's three-pass solving using Geometry and Constraint Fact Units; index candidates on a fixed, non-learned hexagonal lattice for deterministic proximity search.</t>
        </is>
      </c>
      <c r="F117" s="2" t="inlineStr">
        <is>
          <t>hex_coord = f(x,y), deterministic and fixed by construction</t>
        </is>
      </c>
      <c r="G117" s="2">
        <f>(ABS(1-0)+ABS(0-1)+ABS(-1-(-1)))/2</f>
        <v/>
      </c>
    </row>
    <row r="118">
      <c r="A118" s="2" t="n">
        <v>117</v>
      </c>
      <c r="B118" s="2" t="inlineStr">
        <is>
          <t>Dual-Grounded Developmental World Model (The Box Principle)</t>
        </is>
      </c>
      <c r="C118" s="2" t="inlineStr">
        <is>
          <t>World Model &amp; Perception</t>
        </is>
      </c>
      <c r="D118" s="2" t="inlineStr">
        <is>
          <t>Chapter 59System</t>
        </is>
      </c>
      <c r="E118" s="2" t="inlineStr">
        <is>
          <t>Build sensory-grounded and language-grounded concept streams independently; on co-occurrence of a spoken label and a visual object, confirm semantic consistency, then fuse via a binding edge; do not finalize a concept from one binding event — track repeated encounters via temporal consolidation before stabilizing.</t>
        </is>
      </c>
      <c r="F118" s="2" t="inlineStr">
        <is>
          <t>A concept is finalized only after the consolidation count reaches the configured minimum; a single binding event is provisional.</t>
        </is>
      </c>
      <c r="G118" s="2">
        <f>IF(4&gt;=3,"Concept consolidated","Provisional binding retained")</f>
        <v/>
      </c>
    </row>
    <row r="119">
      <c r="A119" s="2" t="n">
        <v>118</v>
      </c>
      <c r="B119" s="2" t="inlineStr">
        <is>
          <t>External Sensory Hardware (Smell/Haptic)</t>
        </is>
      </c>
      <c r="C119" s="2" t="inlineStr">
        <is>
          <t>Ingestion &amp; Sensory Intake</t>
        </is>
      </c>
      <c r="D119" s="2" t="inlineStr">
        <is>
          <t>§92.7</t>
        </is>
      </c>
      <c r="E119" s="2" t="inlineStr">
        <is>
          <t>User-facing§92.7Reader On explicit user action tied to a specific, authored sensory profile, trigger registered external scent/haptic hardware; never trigger from an inferred signal (e.g., detected emotion) under any configuration.</t>
        </is>
      </c>
      <c r="F119" s="2" t="inlineStr">
        <is>
          <t>Structural rule: Output is triggered by an explicit user action tied to an authored profile; a system-inferred trigger is permanently excluded.</t>
        </is>
      </c>
      <c r="G119" s="2">
        <f>IF(AND(TRUE(),TRUE()),"eligible","blocked")</f>
        <v/>
      </c>
    </row>
    <row r="120">
      <c r="A120" s="2" t="n">
        <v>119</v>
      </c>
      <c r="B120" s="2" t="inlineStr">
        <is>
          <t>Source Framing Signals</t>
        </is>
      </c>
      <c r="C120" s="2" t="inlineStr">
        <is>
          <t>Grounded Expression</t>
        </is>
      </c>
      <c r="D120" s="2" t="inlineStr">
        <is>
          <t>§100.6</t>
        </is>
      </c>
      <c r="E120" s="2" t="inlineStr">
        <is>
          <t>User-facing§100.6Reader / Researcher Surface a source's own documented editorial position and quantifiable citation-composition facts (count, funding overlap) as cited facts; never generate a conclusory bias judgment not grounded in the Fact Graph.</t>
        </is>
      </c>
      <c r="F120" s="2" t="inlineStr">
        <is>
          <t>Source composition is reported as a quantified, cited ratio; no conclusory judgment is generated.</t>
        </is>
      </c>
      <c r="G120" s="2">
        <f>IF(3/12&gt;0,"Report composition fact with citation","No composition fact available")</f>
        <v/>
      </c>
    </row>
    <row r="121">
      <c r="A121" s="2" t="n">
        <v>120</v>
      </c>
      <c r="B121" s="2" t="inlineStr">
        <is>
          <t>VR-Specific Commerce Presentation</t>
        </is>
      </c>
      <c r="C121" s="2" t="inlineStr">
        <is>
          <t>Commerce &amp; Entitlement Tokens</t>
        </is>
      </c>
      <c r="D121" s="2" t="inlineStr">
        <is>
          <t>§88.13</t>
        </is>
      </c>
      <c r="E121" s="2" t="inlineStr">
        <is>
          <t>User-facing§88.13Operator / Reader Render matched commercial content in a spatially distinct VR region using the existing concept_id-triggered matching of §88.1; never use gaze, dwell-time, or spatial proximity as a selection signal.</t>
        </is>
      </c>
      <c r="F121" s="2" t="inlineStr">
        <is>
          <t>Structural rule: Commercial content renders in a spatially distinct region; no gaze, dwell or attention signal is captured, derived or made available.</t>
        </is>
      </c>
      <c r="G121" s="2" t="inlineStr"/>
    </row>
    <row r="122">
      <c r="A122" s="2" t="n">
        <v>121</v>
      </c>
      <c r="B122" s="2" t="inlineStr">
        <is>
          <t>Vehicle-Control AI Feed Monitoring</t>
        </is>
      </c>
      <c r="C122" s="2" t="inlineStr">
        <is>
          <t>External Integration &amp; Analysis</t>
        </is>
      </c>
      <c r="D122" s="2" t="inlineStr">
        <is>
          <t>§96.8</t>
        </is>
      </c>
      <c r="E122" s="2" t="inlineStr">
        <is>
          <t>User-facing§96.8Analyst / Human Reviewer Ingest vehicle-control AI telemetry as AnalyzedOutput; check each entry against grounded reference facts (safe-operating envelope, geofence); on confirmed anomaly, generate an expedited, non-blocking alert to a named human reviewer. No control interface exists.</t>
        </is>
      </c>
      <c r="F122" s="2" t="inlineStr">
        <is>
          <t>Structural rule: Telemetry analysis is read-only; no control interface to any vehicle system exists or is created.</t>
        </is>
      </c>
      <c r="G122" s="2">
        <f>IF(TRUE()=TRUE(),"generate_alert","log_only")</f>
        <v/>
      </c>
    </row>
    <row r="123">
      <c r="A123" s="2" t="n">
        <v>122</v>
      </c>
      <c r="B123" s="2" t="inlineStr">
        <is>
          <t>Biased Competition for Object Salience</t>
        </is>
      </c>
      <c r="C123" s="2" t="inlineStr">
        <is>
          <t>World Model &amp; Perception</t>
        </is>
      </c>
      <c r="D123" s="2" t="inlineStr">
        <is>
          <t>§53.8System</t>
        </is>
      </c>
      <c r="E123" s="2" t="inlineStr">
        <is>
          <t>Compute a SalienceWeight for each concurrently-detected Object Layer node from detection confidence and task relevance, normalized against co-present objects; never remove or exclude a node from the Fact Graph based on its weight.</t>
        </is>
      </c>
      <c r="F123" s="2" t="inlineStr">
        <is>
          <t>SalienceWeight_i = f(confidence_i, relevance_i) / Σ f(confidence_j, relevance_j) for all j in scene</t>
        </is>
      </c>
      <c r="G123" s="2">
        <f>IF(SUM(0.9,0.7,0.6)=0,"undefined",0.9/SUM(0.9,0.7,0.6))</f>
        <v/>
      </c>
    </row>
    <row r="124">
      <c r="A124" s="2" t="n">
        <v>123</v>
      </c>
      <c r="B124" s="2" t="inlineStr">
        <is>
          <t>Boltzmann-Style Diverse Hypothesis Sampling</t>
        </is>
      </c>
      <c r="C124" s="2" t="inlineStr">
        <is>
          <t>Inference, Prediction &amp; Calibration</t>
        </is>
      </c>
      <c r="D124" s="2" t="inlineStr">
        <is>
          <t>§97.7</t>
        </is>
      </c>
      <c r="E124" s="2" t="inlineStr">
        <is>
          <t>User-facing§97.7Researcher Where enabled, run the Attractor Network's energy landscape through a stochastic update rule to sample multiple candidate hypotheses per input; label each as stochastically-generated; every result remains PROPOSED status only, gated by Chapter 97's human validation.</t>
        </is>
      </c>
      <c r="F124" s="2" t="inlineStr">
        <is>
          <t>p_i = 1 / (1 + e^(−βΔE_i)), β = 1/T</t>
        </is>
      </c>
      <c r="G124" s="2">
        <f>1/(1+EXP(-1*0.4))</f>
        <v/>
      </c>
    </row>
    <row r="125">
      <c r="A125" s="2" t="n">
        <v>124</v>
      </c>
      <c r="B125" s="2" t="inlineStr">
        <is>
          <t>Developmental Parallel — Verified Correspondence</t>
        </is>
      </c>
      <c r="C125" s="2" t="inlineStr">
        <is>
          <t>World Model &amp; Perception</t>
        </is>
      </c>
      <c r="D125" s="2" t="inlineStr">
        <is>
          <t>§59.9System / Researcher</t>
        </is>
      </c>
      <c r="E125" s="2" t="inlineStr">
        <is>
          <t>Ground Chapter 59's Cross-Modal Binding and Temporal Concept Consolidation against real developmental psychology citations (Carey &amp; Bartlett 1978; Yu &amp; Smith 2007), stating explicitly where the correspondence is precise and where it is honestly incomplete.</t>
        </is>
      </c>
      <c r="F125" s="2" t="inlineStr">
        <is>
          <t>Structural rule: The correspondence grounds existing mechanisms in cited developmental findings; it adds no mechanism and alters no binding rule.</t>
        </is>
      </c>
      <c r="G125" s="2" t="inlineStr"/>
    </row>
    <row r="126">
      <c r="A126" s="2" t="n">
        <v>125</v>
      </c>
      <c r="B126" s="2" t="inlineStr">
        <is>
          <t>Ego-Motion Compensation for Non-Stationary Capture</t>
        </is>
      </c>
      <c r="C126" s="2" t="inlineStr">
        <is>
          <t>Ingestion &amp; Sensory Intake</t>
        </is>
      </c>
      <c r="D126" s="2" t="inlineStr">
        <is>
          <t>§55.2.1System</t>
        </is>
      </c>
      <c r="E126" s="2" t="inlineStr">
        <is>
          <t>Estimate camera ego-motion from the aggregate optical-flow field; subtract it from each region's raw motion vector before Stage 4 object/scene segmentation, improving detection accuracy under significant camera movement.</t>
        </is>
      </c>
      <c r="F126" s="2" t="inlineStr">
        <is>
          <t>v_compensated = v_raw − v_ego_estimated</t>
        </is>
      </c>
      <c r="G126" s="2" t="inlineStr"/>
    </row>
    <row r="127">
      <c r="A127" s="2" t="n">
        <v>126</v>
      </c>
      <c r="B127" s="2" t="inlineStr">
        <is>
          <t>Encyclopedia Content Ingestion</t>
        </is>
      </c>
      <c r="C127" s="2" t="inlineStr">
        <is>
          <t>World Model &amp; Perception</t>
        </is>
      </c>
      <c r="D127" s="2" t="inlineStr">
        <is>
          <t>§59.10</t>
        </is>
      </c>
      <c r="E127" s="2" t="inlineStr">
        <is>
          <t>User-facing§59.10Author / Publisher Extract discrete factual claims from encyclopedia text as Fact Units under the fact/expression dichotomy (Feist v. Rural, 1991); images remain subject to Chapter 60's standard rights-aware ingestion, never exempted.</t>
        </is>
      </c>
      <c r="F127" s="2" t="inlineStr">
        <is>
          <t>Structural rule: A discrete factual claim is extracted while the source's protected expression is not reproduced; accompanying images pass separate rights validation.</t>
        </is>
      </c>
      <c r="G127" s="2" t="inlineStr"/>
    </row>
    <row r="128">
      <c r="A128" s="2" t="n">
        <v>127</v>
      </c>
      <c r="B128" s="2" t="inlineStr">
        <is>
          <t>Intersensory Redundancy Weighting</t>
        </is>
      </c>
      <c r="C128" s="2" t="inlineStr">
        <is>
          <t>Ingestion &amp; Sensory Intake</t>
        </is>
      </c>
      <c r="D128" s="2" t="inlineStr">
        <is>
          <t>§55.2.2System</t>
        </is>
      </c>
      <c r="E128" s="2" t="inlineStr">
        <is>
          <t>Where a property is confirmed via temporally-synchronous signals across multiple concurrent modalities, elevate its Stage 3 confidence weighting relative to a single-modality-only property.</t>
        </is>
      </c>
      <c r="F128" s="2" t="inlineStr">
        <is>
          <t>confidence_amodal &gt; confidence_single_modality when synchrony confirmed</t>
        </is>
      </c>
      <c r="G128" s="2">
        <f>IF(0.78&gt;0.62,"Cross-modal weighting applied","Single-modality confidence retained")</f>
        <v/>
      </c>
    </row>
    <row r="129">
      <c r="A129" s="2" t="n">
        <v>128</v>
      </c>
      <c r="B129" s="2" t="inlineStr">
        <is>
          <t>Object Permanence — Precise Correspondence</t>
        </is>
      </c>
      <c r="C129" s="2" t="inlineStr">
        <is>
          <t>Ingestion &amp; Sensory Intake</t>
        </is>
      </c>
      <c r="D129" s="2" t="inlineStr">
        <is>
          <t>§55.2.3System</t>
        </is>
      </c>
      <c r="E129" s="2" t="inlineStr">
        <is>
          <t>Maintain a single Object Layer node's continuity when the object is fully occluded or temporarily unobservable within the same session, per Piaget's real definition; introduces no cross-session tracking.</t>
        </is>
      </c>
      <c r="F129" s="2" t="inlineStr">
        <is>
          <t>Structural rule: A single object node retains continuity across full occlusion within a session; occlusion does not create a second node.</t>
        </is>
      </c>
      <c r="G129" s="2" t="inlineStr"/>
    </row>
    <row r="130">
      <c r="A130" s="2" t="n">
        <v>129</v>
      </c>
      <c r="B130" s="2" t="inlineStr">
        <is>
          <t>Additional Disambiguation Heuristics for Cross-Modal Binding</t>
        </is>
      </c>
      <c r="C130" s="2" t="inlineStr">
        <is>
          <t>World Model &amp; Perception</t>
        </is>
      </c>
      <c r="D130" s="2" t="inlineStr">
        <is>
          <t>§59.11System</t>
        </is>
      </c>
      <c r="E130" s="2" t="inlineStr">
        <is>
          <t>Apply gaze-direction inference, whole-object bias, and mutual exclusivity as evidence-overridable preferences during Cross-Modal Binding's co-occurrence resolution, alongside — never replacing — existing semantic-consistency confirmation.</t>
        </is>
      </c>
      <c r="F130" s="2" t="inlineStr">
        <is>
          <t>Structural rule: Each disambiguation heuristic is evidence-overridable; a heuristic never overrides a directly-observed binding.</t>
        </is>
      </c>
      <c r="G130" s="2" t="inlineStr"/>
    </row>
    <row r="131">
      <c r="A131" s="2" t="n">
        <v>130</v>
      </c>
      <c r="B131" s="2" t="inlineStr">
        <is>
          <t>Live-Session Erasure</t>
        </is>
      </c>
      <c r="C131" s="2" t="inlineStr">
        <is>
          <t>Access, Rights &amp; Retention</t>
        </is>
      </c>
      <c r="D131" s="2" t="inlineStr">
        <is>
          <t>§36.7.1</t>
        </is>
      </c>
      <c r="E131" s="2" t="inlineStr">
        <is>
          <t>User-facing§36.7.1Reader On user action, immediately clear the live Cognitive Context Window transcript, client- and server-side; log a Provenance Ledger entry recording that an erasure occurred without retaining the cleared content itself.</t>
        </is>
      </c>
      <c r="F131" s="2" t="inlineStr">
        <is>
          <t>Structural rule: Clearing is immediate at client and server and produces no condensed retained form; the ledger entry records the erasure and none of its content.</t>
        </is>
      </c>
      <c r="G131" s="2">
        <f>IF("clear_now"="clear_now","transcript_cleared_immediately","no_action")</f>
        <v/>
      </c>
    </row>
    <row r="132">
      <c r="A132" s="2" t="n">
        <v>131</v>
      </c>
      <c r="B132" s="2" t="inlineStr">
        <is>
          <t>Retention Policy (Retain-by-Default, Erasure as Option)</t>
        </is>
      </c>
      <c r="C132" s="2" t="inlineStr">
        <is>
          <t>Access, Rights &amp; Retention</t>
        </is>
      </c>
      <c r="D132" s="2" t="inlineStr">
        <is>
          <t>§36.7.3</t>
        </is>
      </c>
      <c r="E132" s="2" t="inlineStr">
        <is>
          <t>Admin§36.7.3, §36.7.5Reader / Operator Retain SAFU records automatically at session end by default; provide session/work/account-level erasure (§36.7) and live-session erasure (§36.7.1) as fully available, explicit user-initiated options at any time.</t>
        </is>
      </c>
      <c r="F132" s="2" t="inlineStr">
        <is>
          <t>Structural rule: Retention is the default and erasure is an explicit user action at session, work and account scope; neither is silently applied.</t>
        </is>
      </c>
      <c r="G132" s="2">
        <f>IF("retained"="retained","erasure_available_as_option","n/a")</f>
        <v/>
      </c>
    </row>
    <row r="133">
      <c r="A133" s="2" t="n">
        <v>132</v>
      </c>
      <c r="B133" s="2" t="inlineStr">
        <is>
          <t>Verified Neuromorphic Correspondence Methodology</t>
        </is>
      </c>
      <c r="C133" s="2" t="inlineStr">
        <is>
          <t>Platform Governance &amp; Evolution</t>
        </is>
      </c>
      <c r="D133" s="2" t="inlineStr">
        <is>
          <t>Chapter 101System / Researcher</t>
        </is>
      </c>
      <c r="E133" s="2" t="inlineStr">
        <is>
          <t>For a candidate neuroscience correspondence: (1) verify against primary publication, (2) check for implicit existing correspondence, (3) extract only the deterministic principle, excluding trained components, (4) extend existing mechanism over new invention, (5) formalize under a named, cited section.</t>
        </is>
      </c>
      <c r="F133" s="2" t="inlineStr">
        <is>
          <t>Structural rule: A correspondence is adopted only after external verification, an implicit-correspondence check, deterministic extraction, extension over invention and named formalization.</t>
        </is>
      </c>
      <c r="G133" s="2" t="inlineStr"/>
    </row>
    <row r="134">
      <c r="A134" s="2" t="n">
        <v>133</v>
      </c>
      <c r="B134" s="2" t="inlineStr">
        <is>
          <t>Legal Exposure Minimization Through Structural Compliance</t>
        </is>
      </c>
      <c r="C134" s="2" t="inlineStr">
        <is>
          <t>Access, Rights &amp; Retention</t>
        </is>
      </c>
      <c r="D134" s="2" t="inlineStr">
        <is>
          <t>Chapter 102</t>
        </is>
      </c>
      <c r="E134" s="2" t="inlineStr">
        <is>
          <t>AdminChapter 102Operator Reduce legal exposure via genuine regulatory compliance, structural non-custody (NFT, merchandise), rights discipline, protective audit trail, and consistent documented retention policy — never by reducing what is lawfully producible under a valid order.</t>
        </is>
      </c>
      <c r="F134" s="2" t="inlineStr">
        <is>
          <t>Structural rule: Exposure is reduced through compliance, non-custody, rights discipline and consistent retention; never by reducing what is lawfully producible.</t>
        </is>
      </c>
      <c r="G134" s="2" t="inlineStr"/>
    </row>
    <row r="135">
      <c r="A135" s="2" t="n">
        <v>134</v>
      </c>
      <c r="B135" s="2" t="inlineStr">
        <is>
          <t>Author Portal Book Upload</t>
        </is>
      </c>
      <c r="C135" s="2" t="inlineStr">
        <is>
          <t>Authoring, Editions &amp; Publication</t>
        </is>
      </c>
      <c r="D135" s="2" t="inlineStr">
        <is>
          <t>§61.1.1</t>
        </is>
      </c>
      <c r="E135" s="2" t="inlineStr">
        <is>
          <t>User-facing§61.1.1 / Ch. 60Author Receive an author-submitted work at the web portal bound to a verified author identity; validate rights status; queue the work for ingestion; return a receipt referencing the queued job. Ingestion does not begin until rights validation returns cleared.</t>
        </is>
      </c>
      <c r="F135" s="2" t="inlineStr">
        <is>
          <t>Ingestion proceeds only where rights validation has returned a cleared status.</t>
        </is>
      </c>
      <c r="G135" s="2">
        <f>IF(TRUE(),"Queued for ingestion","Rejected - rights unvalidated")</f>
        <v/>
      </c>
    </row>
    <row r="136">
      <c r="A136" s="2" t="n">
        <v>135</v>
      </c>
      <c r="B136" s="2" t="inlineStr">
        <is>
          <t>Probable Question Generation (PQG)</t>
        </is>
      </c>
      <c r="C136" s="2" t="inlineStr">
        <is>
          <t>Inference, Prediction &amp; Calibration</t>
        </is>
      </c>
      <c r="D136" s="2" t="inlineStr">
        <is>
          <t>Ch. 41.6.3 / Ch. 10</t>
        </is>
      </c>
      <c r="E136" s="2" t="inlineStr">
        <is>
          <t>At ingestion, and before any query is received, traverse each committed Fact Unit together with its Ontology Mesh neighbours and generate candidate questions that those Fact Units answer; score each candidate by a coverage measure over the Fact Units it draws on; retain only candidates clearing the configured floor.</t>
        </is>
      </c>
      <c r="F136" s="2" t="inlineStr">
        <is>
          <t>A candidate question is retained in the Question Index only where its coverage score clears the configured floor.</t>
        </is>
      </c>
      <c r="G136" s="2">
        <f>IF(0.71&gt;=0.6,"Retained in Question Index","Discarded")</f>
        <v/>
      </c>
    </row>
    <row r="137">
      <c r="A137" s="2" t="n">
        <v>136</v>
      </c>
      <c r="B137" s="2" t="inlineStr">
        <is>
          <t>Pre-Computed Answer Set</t>
        </is>
      </c>
      <c r="C137" s="2" t="inlineStr">
        <is>
          <t>Inference, Prediction &amp; Calibration</t>
        </is>
      </c>
      <c r="D137" s="2" t="inlineStr">
        <is>
          <t>Ch. 41.6.3</t>
        </is>
      </c>
      <c r="E137" s="2" t="inlineStr">
        <is>
          <t>For each retained question, assemble the grounded answer at ingestion time from exactly the Fact Units the question was derived from; store it as a Pre-Computed Answer Unit carrying a PRECOMPUTED_ANSWER provenance tag and the FUIDs relied upon, so a served answer is traceable to the same degree as a live one.</t>
        </is>
      </c>
      <c r="F137" s="2" t="inlineStr">
        <is>
          <t>Pre-computed answer confidence is bounded by the least confident contributing Fact Unit.</t>
        </is>
      </c>
      <c r="G137" s="2">
        <f>MIN(0.88,0.79)</f>
        <v/>
      </c>
    </row>
    <row r="138">
      <c r="A138" s="2" t="n">
        <v>137</v>
      </c>
      <c r="B138" s="2" t="inlineStr">
        <is>
          <t>Question Index Reuse and Invalidation</t>
        </is>
      </c>
      <c r="C138" s="2" t="inlineStr">
        <is>
          <t>Inference, Prediction &amp; Calibration</t>
        </is>
      </c>
      <c r="D138" s="2" t="inlineStr">
        <is>
          <t>Ch. 41.6.3 / §49.2</t>
        </is>
      </c>
      <c r="E138" s="2" t="inlineStr">
        <is>
          <t>On query, match against the Question Index before live traversal; serve the stored answer where match similarity clears the threshold and no contributing Fact Unit has been revised since computation; otherwise fall through to live retrieval. Revision of any contributing Fact Unit marks dependent entries stale and excludes them from service until recomputed.</t>
        </is>
      </c>
      <c r="F138" s="2" t="inlineStr">
        <is>
          <t>A stored answer is served only where match similarity clears threshold and every contributing Fact Unit is unrevised since computation.</t>
        </is>
      </c>
      <c r="G138" s="2">
        <f>IF(AND(0.83&gt;=0.75,TRUE()),"Serve pre-computed answer","Recompute live")</f>
        <v/>
      </c>
    </row>
    <row r="139">
      <c r="A139" s="2" t="n">
        <v>138</v>
      </c>
      <c r="B139" s="2" t="inlineStr">
        <is>
          <t>Author Supplemental Knowledge Layer</t>
        </is>
      </c>
      <c r="C139" s="2" t="inlineStr">
        <is>
          <t>Access, Rights &amp; Retention</t>
        </is>
      </c>
      <c r="D139" s="2" t="inlineStr">
        <is>
          <t>§82.1</t>
        </is>
      </c>
      <c r="E139" s="2" t="inlineStr">
        <is>
          <t>User-facing§82.1Author Accept author-supplied supplemental context at or after ingestion; convert it to Fact Units tagged AUTHOR_SUPPLEMENTAL with the author as attributed source; make those Fact Units available to every reader entitled to the work; regenerate the Question Index entries whose contributing Fact Units are affected.</t>
        </is>
      </c>
      <c r="F139" s="2" t="inlineStr">
        <is>
          <t>Supplemental Fact Units carry author-attributed source reliability and trigger regeneration of every affected index entry.</t>
        </is>
      </c>
      <c r="G139" s="2">
        <f>IF(COUNTIF({"FU-101","FU-102"},"FU-101")&gt;0,"Regenerate affected entries","No regeneration required")</f>
        <v/>
      </c>
    </row>
    <row r="140">
      <c r="A140" s="2" t="n">
        <v>139</v>
      </c>
      <c r="B140" s="2" t="inlineStr">
        <is>
          <t>Attractor Load Regime Governor</t>
        </is>
      </c>
      <c r="C140" s="2" t="inlineStr">
        <is>
          <t>Retrieval &amp; Response</t>
        </is>
      </c>
      <c r="D140" s="2" t="inlineStr">
        <is>
          <t>§7.6.3 / §7.6.4</t>
        </is>
      </c>
      <c r="E140" s="2" t="inlineStr">
        <is>
          <t>Compute the Attractor Load Ratio alpha = P/N before admitting a further stable configuration; admit only where the resulting alpha stays below the configured operating ceiling; refuse admission and trigger EWC consolidation where it would not. Operation above the conservative ceiling requires a recorded deployment election; operation at or past the Retrieval-Phase Boundary is structurally refused.</t>
        </is>
      </c>
      <c r="F140" s="2" t="inlineStr">
        <is>
          <t>Alpha = P/N must remain below the configured operating ceiling, itself strictly below the Retrieval-Phase Boundary alpha_c ~ 0.138 (AGS 1985, 1987).</t>
        </is>
      </c>
      <c r="G140" s="2">
        <f>IF(1000/8192&lt;0.05,"Admit - conservative regime","Consolidate before admitting")</f>
        <v/>
      </c>
    </row>
    <row r="141">
      <c r="A141" s="2" t="n">
        <v>140</v>
      </c>
      <c r="B141" s="2" t="inlineStr">
        <is>
          <t>Sampling Criticality Control</t>
        </is>
      </c>
      <c r="C141" s="2" t="inlineStr">
        <is>
          <t>Inference, Prediction &amp; Calibration</t>
        </is>
      </c>
      <c r="D141" s="2" t="inlineStr">
        <is>
          <t>§97.7.1</t>
        </is>
      </c>
      <c r="E141" s="2" t="inlineStr">
        <is>
          <t>Expose the inverse-temperature parameter of the hypothesis-diversity sampler as an operator-set control with ordered, intermediate and disordered regimes; record the value in effect with the setting operator's identity so a hypothesis set is reproducible. No setting admits sampler output to the retrieval or generation path, and no process self-tunes the parameter.</t>
        </is>
      </c>
      <c r="F141" s="2" t="inlineStr">
        <is>
          <t>Selection probability p = 1 / (1 + e^(-beta * deltaE)); beta sets distance from the indifference point.</t>
        </is>
      </c>
      <c r="G141" s="2">
        <f>1/(1+EXP(-0.5*0.4))</f>
        <v/>
      </c>
    </row>
    <row r="142">
      <c r="A142" s="2" t="n">
        <v>141</v>
      </c>
      <c r="B142" s="2" t="inlineStr">
        <is>
          <t>Concept Attribute Inheritance</t>
        </is>
      </c>
      <c r="C142" s="2" t="inlineStr">
        <is>
          <t>Ontology &amp; Conceptual Structure</t>
        </is>
      </c>
      <c r="D142" s="2" t="inlineStr">
        <is>
          <t>§54.6.1</t>
        </is>
      </c>
      <c r="E142" s="2" t="inlineStr">
        <is>
          <t>Where a concept is connected to a superordinate concept by an IS-A edge and that superordinate carries a HAS-PROPERTY attribute, assign the attribute to the subordinate at traversal time, tagged with its originating concept and IS-A depth; do not write it back as stored state, so a revision at the superordinate propagates on the next traversal.</t>
        </is>
      </c>
      <c r="F142" s="2" t="inlineStr">
        <is>
          <t>Inherited attribute confidence is the product of the traversed IS-A edge confidences and the attribute's own confidence, bounded above by the least of them.</t>
        </is>
      </c>
      <c r="G142" s="2">
        <f>MIN(0.97,0.99*0.95)</f>
        <v/>
      </c>
    </row>
    <row r="143">
      <c r="A143" s="2" t="n">
        <v>142</v>
      </c>
      <c r="B143" s="2" t="inlineStr">
        <is>
          <t>Exception Override Resolution</t>
        </is>
      </c>
      <c r="C143" s="2" t="inlineStr">
        <is>
          <t>Ontology &amp; Conceptual Structure</t>
        </is>
      </c>
      <c r="D143" s="2" t="inlineStr">
        <is>
          <t>§54.6.2</t>
        </is>
      </c>
      <c r="E143" s="2" t="inlineStr">
        <is>
          <t>Where a subordinate concept asserts an attribute conflicting with one it would inherit, the direct assertion governs for that concept and its subordinates while the superordinate's attribute is unmodified and still inherited by siblings; conflicts inherited at differing depths resolve to the lesser depth; conflicts at equal depth are refused and recorded in the contradiction index.</t>
        </is>
      </c>
      <c r="F143" s="2" t="inlineStr">
        <is>
          <t>The attribute asserted at the lesser IS-A depth governs; equal-depth conflicts are not resolved and both values are reported.</t>
        </is>
      </c>
      <c r="G143" s="2">
        <f>IF(3&gt;1,"Subordinate assertion governs","Inherited value retained")</f>
        <v/>
      </c>
    </row>
    <row r="144">
      <c r="A144" s="2" t="n">
        <v>143</v>
      </c>
      <c r="B144" s="2" t="inlineStr">
        <is>
          <t>Inverse Edge Traversal</t>
        </is>
      </c>
      <c r="C144" s="2" t="inlineStr">
        <is>
          <t>Ontology &amp; Conceptual Structure</t>
        </is>
      </c>
      <c r="D144" s="2" t="inlineStr">
        <is>
          <t>§54.6.3 / Appendix A</t>
        </is>
      </c>
      <c r="E144" s="2" t="inlineStr">
        <is>
          <t>Traverse a typed edge in reverse by resolving the InversePredicate declared in the predicate schema at traversal time, storing no second edge; where no inverse is declared, refuse reverse traversal and report an absent inverse declaration rather than inferring a reverse reading.</t>
        </is>
      </c>
      <c r="F144" s="2" t="inlineStr">
        <is>
          <t>Reverse traversal is available only where an InversePredicate is declared; stored edge count equals asserted relation count.</t>
        </is>
      </c>
      <c r="G144" s="2">
        <f>IF(COUNTIF({"parentOf","childOf"},"childOf")&gt;0,"Reverse traversal available","Refused - no inverse declared")</f>
        <v/>
      </c>
    </row>
    <row r="145">
      <c r="A145" s="2" t="n">
        <v>144</v>
      </c>
      <c r="B145" s="2" t="inlineStr">
        <is>
          <t>Wording-Operative Span Preservation</t>
        </is>
      </c>
      <c r="C145" s="2" t="inlineStr">
        <is>
          <t>Grounded Expression</t>
        </is>
      </c>
      <c r="D145" s="2" t="inlineStr">
        <is>
          <t>§16.7</t>
        </is>
      </c>
      <c r="E145" s="2" t="inlineStr">
        <is>
          <t>Where a Fact Unit is typed QUOTATION or carries a wording-operative marking, reproduce the source span in its source language and wording rather than regenerating it, accompanied in a target language by a regenerated gloss marked non-operative; exempt only the reproduced span from Stage 6 groundedness rewriting; withhold reproduction where Chapter 60 rights validation does not permit it and deliver the gloss alone.</t>
        </is>
      </c>
      <c r="F145" s="2" t="inlineStr">
        <is>
          <t>A wording-operative span is reproduced, never regenerated; the accompanying gloss carries a non-operative marking.</t>
        </is>
      </c>
      <c r="G145" s="2">
        <f>IF(COUNTIF({"QUOTATION","CLAIM","INSTRUCTION"},"QUOTATION")&gt;0,"Reproduce verbatim + non-operative gloss","Regenerate normally")</f>
        <v/>
      </c>
    </row>
    <row r="146">
      <c r="A146" s="2" t="n">
        <v>145</v>
      </c>
      <c r="B146" s="2" t="inlineStr">
        <is>
          <t>Idiom Detection and Equivalence Mapping</t>
        </is>
      </c>
      <c r="C146" s="2" t="inlineStr">
        <is>
          <t>Grounded Expression</t>
        </is>
      </c>
      <c r="D146" s="2" t="inlineStr">
        <is>
          <t>§16.8</t>
        </is>
      </c>
      <c r="E146" s="2" t="inlineStr">
        <is>
          <t>Detect at ingestion a span whose compositional reading diverges from its attested reading beyond a configured threshold; record the attested meaning with an idiom-derived marking and the source span; realize it in a target language using a registered equivalent for the same attested meaning, and where none is registered render the meaning literally with an explicit note rather than selecting an equivalent by surface similarity.</t>
        </is>
      </c>
      <c r="F146" s="2" t="inlineStr">
        <is>
          <t>An idiom mapping applies only where divergence clears the configured threshold and a target-language equivalent is registered.</t>
        </is>
      </c>
      <c r="G146" s="2">
        <f>IF(AND(0.82&gt;=0.6,COUNTIF({"es:tomar-el-pelo"},"es:tomar-el-pelo")&gt;0),"Apply registered equivalent","Render literal meaning with note")</f>
        <v/>
      </c>
    </row>
    <row r="147">
      <c r="A147" s="2" t="n">
        <v>146</v>
      </c>
      <c r="B147" s="2" t="inlineStr">
        <is>
          <t>Linguistic Resource Registry</t>
        </is>
      </c>
      <c r="C147" s="2" t="inlineStr">
        <is>
          <t>Ingestion &amp; Sensory Intake</t>
        </is>
      </c>
      <c r="D147" s="2" t="inlineStr">
        <is>
          <t>§4.9.1–§4.9.2</t>
        </is>
      </c>
      <c r="E147" s="2" t="inlineStr">
        <is>
          <t>Register every externally-sourced linguistic resource with identifier, version, licensor, licence instrument, permitted-use scope, redistribution permission, attribution requirement and ingestion mode before any extraction or realization stage consults it; refuse registration where the licence does not cover the declared use; propagate derivative conditions to artifacts derived from the resource, marking an artifact non-redistributable where two registered resources impose conflicting conditions.</t>
        </is>
      </c>
      <c r="F147" s="2" t="inlineStr">
        <is>
          <t>A resource is consulted only where its registered permitted-use scope encompasses the operator's declared use.</t>
        </is>
      </c>
      <c r="G147" s="2">
        <f>IF(COUNTIF({"commercial-permitted","derived-only","refused"},"commercial-permitted")&gt;0,"Register for full ingestion","Restrict or refuse")</f>
        <v/>
      </c>
    </row>
    <row r="148">
      <c r="A148" s="2" t="n">
        <v>147</v>
      </c>
      <c r="B148" s="2" t="inlineStr">
        <is>
          <t>Derived-Artifact-Only Extraction</t>
        </is>
      </c>
      <c r="C148" s="2" t="inlineStr">
        <is>
          <t>Ingestion &amp; Sensory Intake</t>
        </is>
      </c>
      <c r="D148" s="2" t="inlineStr">
        <is>
          <t>§4.9.3</t>
        </is>
      </c>
      <c r="E148" s="2" t="inlineStr">
        <is>
          <t>For a resource registered in derived-artifact-only mode, compute and retain aggregate quantities (frequency, collocation strength, part-of-speech distribution, morphological paradigm) while retaining no span of the resource's text in any Fact Unit, index or cache and reproducing none in output; verify by confirming the retained-span count is zero, enforcing the Feist fact/expression boundary already applied at §59.10.</t>
        </is>
      </c>
      <c r="F148" s="2" t="inlineStr">
        <is>
          <t>Retained source spans attributable to a derived-artifact-only resource must equal zero.</t>
        </is>
      </c>
      <c r="G148" s="2">
        <f>IF(0=0,"Compliant - statistics retained, no source span","Refused - source span retained")</f>
        <v/>
      </c>
    </row>
    <row r="149">
      <c r="A149" s="2" t="n">
        <v>148</v>
      </c>
      <c r="B149" s="2" t="inlineStr">
        <is>
          <t>External System Behavioural Probing</t>
        </is>
      </c>
      <c r="C149" s="2" t="inlineStr">
        <is>
          <t>External Integration &amp; Analysis</t>
        </is>
      </c>
      <c r="D149" s="2" t="inlineStr">
        <is>
          <t>§96.9</t>
        </is>
      </c>
      <c r="E149" s="2" t="inlineStr">
        <is>
          <t>Submit controlled inputs to a registered external system and measure behaviour rather than content: repeat an identical input and score the proportion of outputs sharing a semantic fingerprint; reinject an output as input to a ceiling and classify the fingerprint sequence as converged, periodic, drifting or unresolved; perturb an input without changing its fingerprint and score output invariance. Every result carries QueryBook's own measured value on the identical probe or is incomplete.</t>
        </is>
      </c>
      <c r="F149" s="2" t="inlineStr">
        <is>
          <t>A probe result is reportable only where a reference value measured on the identical probe is present.</t>
        </is>
      </c>
      <c r="G149" s="2">
        <f>IF(AND(8/10&gt;=0.5,1=1),"Consistency measured against reference","Incomplete - reference value absent")</f>
        <v/>
      </c>
    </row>
    <row r="150">
      <c r="A150" s="2" t="n">
        <v>149</v>
      </c>
      <c r="B150" s="2" t="inlineStr">
        <is>
          <t>Analysis Quarantine</t>
        </is>
      </c>
      <c r="C150" s="2" t="inlineStr">
        <is>
          <t>External Integration &amp; Analysis</t>
        </is>
      </c>
      <c r="D150" s="2" t="inlineStr">
        <is>
          <t>§96.10</t>
        </is>
      </c>
      <c r="E150" s="2" t="inlineStr">
        <is>
          <t>Exclude AnalyzedOutput and ProbeResult Fact Units, and anything derived from them, from the scope description the Slice Resolver constructs for any query not directed at the analysis itself, so they are not traversable rather than filtered afterwards; exclude them equally from the question index and the Conceptual Memory Layer.</t>
        </is>
      </c>
      <c r="F150" s="2" t="inlineStr">
        <is>
          <t>An analysis record is structurally ineligible as a grounding source; exclusion occurs at slice construction, not after traversal.</t>
        </is>
      </c>
      <c r="G150" s="2">
        <f>IF(COUNTIF({"AnalyzedOutput","ProbeResult"},"ProbeResult")&gt;0,"Excluded from grounding slice","Eligible as grounding")</f>
        <v/>
      </c>
    </row>
    <row r="151">
      <c r="A151" s="2" t="n">
        <v>150</v>
      </c>
      <c r="B151" s="2" t="inlineStr">
        <is>
          <t>Attestation Horizon Constraint</t>
        </is>
      </c>
      <c r="C151" s="2" t="inlineStr">
        <is>
          <t>Inference, Prediction &amp; Calibration</t>
        </is>
      </c>
      <c r="D151" s="2" t="inlineStr">
        <is>
          <t>§103.3</t>
        </is>
      </c>
      <c r="E151" s="2" t="inlineStr">
        <is>
          <t>Admit a Fact Unit to a pre-event snapshot only where its T_attested (the source's documented creation date) precedes the event time less the horizon; do not consult TemporalAnchor for this test; exclude any record whose T_attested cannot be established from documented source metadata; enforce at Slice Resolver scope construction so an inadmissible record is not traversable rather than filtered afterwards.</t>
        </is>
      </c>
      <c r="F151" s="2" t="inlineStr">
        <is>
          <t>Admissible iff T_attested &lt; T_event - horizon; contested dates resolve to the latest candidate, so uncertainty resolves toward exclusion.</t>
        </is>
      </c>
      <c r="G151" s="2">
        <f>IF(DATE(1998,3,1)&lt;DATE(2001,9,11)-90,"Admissible to pre-event snapshot","Excluded - attested after cutoff")</f>
        <v/>
      </c>
    </row>
    <row r="152">
      <c r="A152" s="2" t="n">
        <v>151</v>
      </c>
      <c r="B152" s="2" t="inlineStr">
        <is>
          <t>Retrospective Forecast Scoring</t>
        </is>
      </c>
      <c r="C152" s="2" t="inlineStr">
        <is>
          <t>Inference, Prediction &amp; Calibration</t>
        </is>
      </c>
      <c r="D152" s="2" t="inlineStr">
        <is>
          <t>§103.5</t>
        </is>
      </c>
      <c r="E152" s="2" t="inlineStr">
        <is>
          <t>Run Chapter 10 and §10.4 forecasting against the constrained pre-event snapshot alone within a Scenario Graph branch; record predicted outcome, assigned probability, predicted interval and every admitted FUID; on comparison with the recorded outcome, construct a PredictionError Fact Unit and derive accuracy by horizon and calibration by confidence band.</t>
        </is>
      </c>
      <c r="F152" s="2" t="inlineStr">
        <is>
          <t>Mean squared error between assigned probability and realised binary outcome across the scored corpus.</t>
        </is>
      </c>
      <c r="G152" s="2">
        <f>((0.7-1)^2+(0.4-0)^2)/2</f>
        <v/>
      </c>
    </row>
    <row r="153">
      <c r="A153" s="2" t="n">
        <v>152</v>
      </c>
      <c r="B153" s="2" t="inlineStr">
        <is>
          <t>Calibration Subject Class Gate</t>
        </is>
      </c>
      <c r="C153" s="2" t="inlineStr">
        <is>
          <t>Inference, Prediction &amp; Calibration</t>
        </is>
      </c>
      <c r="D153" s="2" t="inlineStr">
        <is>
          <t>§103.6</t>
        </is>
      </c>
      <c r="E153" s="2" t="inlineStr">
        <is>
          <t>Admit only an institution, organisational process, system or aggregate group as the subject of a calibration event record; refuse construction of a PredictionError Fact Unit whose subject resolves to an individual natural person, at construction rather than by access restriction; report a demographic correlation as a property of the institutional process, cited, never restated as a property of individuals.</t>
        </is>
      </c>
      <c r="F153" s="2" t="inlineStr">
        <is>
          <t>Construction is refused where the resolved subject class is an individual natural person.</t>
        </is>
      </c>
      <c r="G153" s="2">
        <f>IF(COUNTIF({"institution","system","group"},"individual")&gt;0,"Refused - individual subject","Admissible - institutional subject")</f>
        <v/>
      </c>
    </row>
    <row r="154">
      <c r="A154" s="2" t="n">
        <v>153</v>
      </c>
      <c r="B154" s="2" t="inlineStr">
        <is>
          <t>Event Type Catalogue</t>
        </is>
      </c>
      <c r="C154" s="2" t="inlineStr">
        <is>
          <t>Ontology &amp; Conceptual Structure</t>
        </is>
      </c>
      <c r="D154" s="2" t="inlineStr">
        <is>
          <t>§104.2</t>
        </is>
      </c>
      <c r="E154" s="2" t="inlineStr">
        <is>
          <t>Register each event category with an immutable id, version, poly-hierarchical Ontology Mesh placement, a semantic definition stating both coverage and exclusions, and a MachineDefinition naming required, optional and forbidden fields; require an EVENT_DESCRIPTION Fact Unit to reference a registered id rather than a free-text category; refuse construction where the MachineDefinition is unsatisfied; permit a later version to narrow a required-field set but never widen it.</t>
        </is>
      </c>
      <c r="F154" s="2" t="inlineStr">
        <is>
          <t>A record is admitted only where every field required by its event type's MachineDefinition is present.</t>
        </is>
      </c>
      <c r="G154" s="2">
        <f>IF(COUNTIF({"StartTime","EventTypeId","ActorRef"},"EventTypeId")&gt;0,"Admit - required field present","Refused - MachineDefinition unsatisfied")</f>
        <v/>
      </c>
    </row>
    <row r="155">
      <c r="A155" s="2" t="n">
        <v>154</v>
      </c>
      <c r="B155" s="2" t="inlineStr">
        <is>
          <t>Environment Vector Normalization</t>
        </is>
      </c>
      <c r="C155" s="2" t="inlineStr">
        <is>
          <t>Ontology &amp; Conceptual Structure</t>
        </is>
      </c>
      <c r="D155" s="2" t="inlineStr">
        <is>
          <t>§104.3</t>
        </is>
      </c>
      <c r="E155" s="2" t="inlineStr">
        <is>
          <t>Store a world-state snapshot once as a content-addressed record carrying its own TemporalAnchor, typed Ontology-Mesh-resolved condition keys, confidence, provenance and T_attested; reference it from Fact Units through a reserved AnnotationSet key so no schema field is added; converge identical condition sets on one vector with two provenance branches; correct by supersession so every referencing record resolves to the corrected state on next traversal.</t>
        </is>
      </c>
      <c r="F155" s="2" t="inlineStr">
        <is>
          <t>Identical canonicalized condition sets yield an identical content hash and therefore one vector, not two.</t>
        </is>
      </c>
      <c r="G155" s="2">
        <f>IF(COUNTIF({"a1f3c7","b2c9e1"},"a1f3c7")&gt;0,"Reference existing vector","Create new vector")</f>
        <v/>
      </c>
    </row>
    <row r="156">
      <c r="A156" s="2" t="n">
        <v>155</v>
      </c>
      <c r="B156" s="2" t="inlineStr">
        <is>
          <t>Causal Edge Temporal Validation</t>
        </is>
      </c>
      <c r="C156" s="2" t="inlineStr">
        <is>
          <t>Ontology &amp; Conceptual Structure</t>
        </is>
      </c>
      <c r="D156" s="2" t="inlineStr">
        <is>
          <t>§104.4</t>
        </is>
      </c>
      <c r="E156" s="2" t="inlineStr">
        <is>
          <t>Admit a CAUSES edge only where the source TemporalAnchor does not begin after the target's begins; refuse otherwise and record the attempted assertion in the Chapter 17 contradiction index; permit concurrent and overlapping causation; never promote TEMPORAL_FOLLOWS to CAUSES automatically; express chains as Bundle membership with chain length, root and outcome computed at query time rather than stored.</t>
        </is>
      </c>
      <c r="F156" s="2" t="inlineStr">
        <is>
          <t>CAUSES admitted iff T_start(source) &lt;= T_start(target); duration is derived at query time, never stored.</t>
        </is>
      </c>
      <c r="G156" s="2">
        <f>IF(DATE(2020,3,1)&lt;=DATE(2020,3,15),"CAUSES edge admitted","Refused - effect precedes cause")</f>
        <v/>
      </c>
    </row>
    <row r="157">
      <c r="A157" s="2" t="n">
        <v>156</v>
      </c>
      <c r="B157" s="2" t="inlineStr">
        <is>
          <t>Bayesian ConfidenceScore Posterior Update</t>
        </is>
      </c>
      <c r="C157" s="2" t="inlineStr">
        <is>
          <t>Inference, Prediction &amp; Calibration</t>
        </is>
      </c>
      <c r="D157" s="2" t="inlineStr">
        <is>
          <t>§41.6.2.1–.2</t>
        </is>
      </c>
      <c r="E157" s="2" t="inlineStr">
        <is>
          <t>Hold ConfidenceScore as Beta parameters alpha (supporting evidence) and beta (contradicting evidence) rather than a scalar; report CS as alpha/(alpha+beta); update in closed form by adding the observing source's reliability weight to whichever parameter the evidence supports, so revision magnitude falls as accumulated evidence grows without any rule conditioned on it; decay shrinks both parameters toward the prior, widening the credible interval while preserving the mean.</t>
        </is>
      </c>
      <c r="F157" s="2" t="inlineStr">
        <is>
          <t>CS = alpha/(alpha+beta); posterior by conjugate addition alpha' = alpha + w*s, beta' = beta + w*f; order-independent.</t>
        </is>
      </c>
      <c r="G157" s="2">
        <f>18/(18+2+1)</f>
        <v/>
      </c>
    </row>
    <row r="158">
      <c r="A158" s="2" t="n">
        <v>157</v>
      </c>
      <c r="B158" s="2" t="inlineStr">
        <is>
          <t>Prior-Strength Resistance Check</t>
        </is>
      </c>
      <c r="C158" s="2" t="inlineStr">
        <is>
          <t>Inference, Prediction &amp; Calibration</t>
        </is>
      </c>
      <c r="D158" s="2" t="inlineStr">
        <is>
          <t>§41.6.2.3</t>
        </is>
      </c>
      <c r="E158" s="2" t="inlineStr">
        <is>
          <t>Initialise Beta parameters for a concept node from ConceptStabilityWeight, which sets the pseudo-count n0 = alpha+beta while the current confidence sets the ratio; a high-CSW node therefore requires multi-source contradicting evidence to revise, which is the behaviour §41.4.5 asserts and the additive rule does not produce.</t>
        </is>
      </c>
      <c r="F158" s="2" t="inlineStr">
        <is>
          <t>Revision from a single contradiction against a strong prior must fall below the increment the additive rule would have applied.</t>
        </is>
      </c>
      <c r="G158" s="2">
        <f>IF(0.9-18/(18+2+1)&lt;0.05,"Strong prior resists single contradiction","Revision exceeds tolerance")</f>
        <v/>
      </c>
    </row>
    <row r="159">
      <c r="A159" s="2" t="n">
        <v>158</v>
      </c>
      <c r="B159" s="2" t="inlineStr">
        <is>
          <t>Precision-Weighted Error Propagation</t>
        </is>
      </c>
      <c r="C159" s="2" t="inlineStr">
        <is>
          <t>Inference, Prediction &amp; Calibration</t>
        </is>
      </c>
      <c r="D159" s="2" t="inlineStr">
        <is>
          <t>§41.6.4.2</t>
        </is>
      </c>
      <c r="E159" s="2" t="inlineStr">
        <is>
          <t>Compute an error signal's precision as inverse variance from the Beta parameters already held under §41.6.2; propagate a contradiction upward to World Brain concept attributes by a gain equal to the error's share of total precision, so a poorly-supported observation barely revises a settled concept while a well-established one substantially revises a weakly-held concept; replaces the ConfidenceScore-differential magnitude of §41.5.1.</t>
        </is>
      </c>
      <c r="F159" s="2" t="inlineStr">
        <is>
          <t>gain = var_prior / (var_prior + var_error), equivalently pi_error / (pi_error + pi_prior); var = CS(1-CS)/(alpha+beta+1).</t>
        </is>
      </c>
      <c r="G159" s="2">
        <f>((180/200)*(20/200)/201)/(((180/200)*(20/200)/201)+((1/2)*(1/2)/3))</f>
        <v/>
      </c>
    </row>
    <row r="160">
      <c r="A160" s="2" t="n">
        <v>159</v>
      </c>
      <c r="B160" s="2" t="inlineStr">
        <is>
          <t>Low-Precision Error Suppression</t>
        </is>
      </c>
      <c r="C160" s="2" t="inlineStr">
        <is>
          <t>Inference, Prediction &amp; Calibration</t>
        </is>
      </c>
      <c r="D160" s="2" t="inlineStr">
        <is>
          <t>§41.6.4.3</t>
        </is>
      </c>
      <c r="E160" s="2" t="inlineStr">
        <is>
          <t>Withhold model revision entirely where the computed gain falls below a configured floor rather than applying an arbitrarily small revision; record each withheld contradiction in the Chapter 17 contradiction index so a pattern of individually-insignificant errors against one attribute stays queryable.</t>
        </is>
      </c>
      <c r="F160" s="2" t="inlineStr">
        <is>
          <t>Revision is withheld where gain &lt; configured floor; withheld contradictions are retained, not discarded.</t>
        </is>
      </c>
      <c r="G160" s="2">
        <f>IF(((180/200)*(20/200)/201)/(((180/200)*(20/200)/201)+((1/2)*(1/2)/3))&lt;0.05,"Low-precision error suppressed","Model revision applied")</f>
        <v/>
      </c>
    </row>
    <row r="161">
      <c r="A161" s="2" t="n">
        <v>160</v>
      </c>
      <c r="B161" s="2" t="inlineStr">
        <is>
          <t>Physical Constraint Enforcement</t>
        </is>
      </c>
      <c r="C161" s="2" t="inlineStr">
        <is>
          <t>World Model &amp; Perception</t>
        </is>
      </c>
      <c r="D161" s="2" t="inlineStr">
        <is>
          <t>§53.9.2</t>
        </is>
      </c>
      <c r="E161" s="2" t="inlineStr">
        <is>
          <t>Evaluate every registered physical constraint whose applicability predicate a candidate scene completion satisfies; refuse the completion where the residual exceeds tolerance and regenerate with the implicated field left unspecified, so a completion with an acknowledged gap is returned in preference to a physically impossible one; constraints are evaluated before plausibility scoring and a refused completion never appears in the ranked output at any score.</t>
        </is>
      </c>
      <c r="F161" s="2" t="inlineStr">
        <is>
          <t>Admissible iff |residual| &lt;= tolerance, tolerance taken relative to the magnitude of the conserved quantity.</t>
        </is>
      </c>
      <c r="G161" s="2">
        <f>IF(ABS((2*1+1*4)-(2*3+1*0))&lt;=0.02*(2*3+1*0),"Completion admitted","Refused - conservation residual exceeds tolerance")</f>
        <v/>
      </c>
    </row>
    <row r="162">
      <c r="A162" s="2" t="n">
        <v>161</v>
      </c>
      <c r="B162" s="2" t="inlineStr">
        <is>
          <t>Constraint Residual Computation</t>
        </is>
      </c>
      <c r="C162" s="2" t="inlineStr">
        <is>
          <t>World Model &amp; Perception</t>
        </is>
      </c>
      <c r="D162" s="2" t="inlineStr">
        <is>
          <t>§53.9.2</t>
        </is>
      </c>
      <c r="E162" s="2" t="inlineStr">
        <is>
          <t>Compute the expected value of a constrained quantity from the registered closed-form residual expression in SI base units and compare against the completion's asserted value; record the refusal with constraint id, residual, tolerance and implicated field so a wrongly-parameterised constraint is detectable by its refusal rate rather than quietly suppressing correct inference.</t>
        </is>
      </c>
      <c r="F162" s="2" t="inlineStr">
        <is>
          <t>Expected position under gravitational constraint h1 = h0 - 0.5*g*t^2 with g = 9.80665 m/s^2; residual is the asserted value less h1.</t>
        </is>
      </c>
      <c r="G162" s="2">
        <f>2-0.5*9.80665*0.4^2</f>
        <v/>
      </c>
    </row>
    <row r="163">
      <c r="A163" s="2" t="n">
        <v>162</v>
      </c>
      <c r="B163" s="2" t="inlineStr">
        <is>
          <t>Public API Layer</t>
        </is>
      </c>
      <c r="C163" s="2" t="inlineStr">
        <is>
          <t>External Integration &amp; Analysis</t>
        </is>
      </c>
      <c r="D163" s="2" t="inlineStr">
        <is>
          <t>§105.1</t>
        </is>
      </c>
      <c r="E163" s="2" t="inlineStr">
        <is>
          <t>Admin§105.1Operator Expose seven programmatic interfaces (content, query, rights, layout, assessment, edition, semantic); each resolves a scope description before traversal, no parameter widens it, an out-of-scope record yields the response for a non-existent record, and the layer carries its own Chapter 8 safety gate as an operation layer; calls are metered per calling identity and a call over budget is refused rather than served at reduced priority.</t>
        </is>
      </c>
      <c r="F163" s="2" t="inlineStr">
        <is>
          <t>A call is served only where the calling identity's metered budget is not exceeded; refusal is by budget, never by throttling.</t>
        </is>
      </c>
      <c r="G163" s="2">
        <f>IF(120&lt;=150,"Within slice budget; served","Refused - slice budget exceeded")</f>
        <v/>
      </c>
    </row>
    <row r="164">
      <c r="A164" s="2" t="n">
        <v>163</v>
      </c>
      <c r="B164" s="2" t="inlineStr">
        <is>
          <t>Plugin Architecture</t>
        </is>
      </c>
      <c r="C164" s="2" t="inlineStr">
        <is>
          <t>External Integration &amp; Analysis</t>
        </is>
      </c>
      <c r="D164" s="2" t="inlineStr">
        <is>
          <t>§105.2</t>
        </is>
      </c>
      <c r="E164" s="2" t="inlineStr">
        <is>
          <t>Admin§105.2Operator Register a third-party component against a declared capability set on the Source Connector Registry contract; the plugin reaches knowledge only through §105.1 interfaces within the executing identity's scope, holds no direct Fact Graph or Ledger access, is refused at registration if it declares any safety operation, cannot participate in the improvement pipeline, and its output is labelled, quarantined and not citable as grounding; activation and suspension require a named human operator.</t>
        </is>
      </c>
      <c r="F164" s="2" t="inlineStr">
        <is>
          <t>Registration is refused where the declared capability set includes any safety-evaluation operation.</t>
        </is>
      </c>
      <c r="G164" s="2">
        <f>IF(COUNTIF({"read-output","declare-capability"},"write-factgraph")&gt;0,"Activate plugin","Refused - capability not declared")</f>
        <v/>
      </c>
    </row>
    <row r="165">
      <c r="A165" s="2" t="n">
        <v>164</v>
      </c>
      <c r="B165" s="2" t="inlineStr">
        <is>
          <t>Interface Versioning</t>
        </is>
      </c>
      <c r="C165" s="2" t="inlineStr">
        <is>
          <t>External Integration &amp; Analysis</t>
        </is>
      </c>
      <c r="D165" s="2" t="inlineStr">
        <is>
          <t>§105.3</t>
        </is>
      </c>
      <c r="E165" s="2" t="inlineStr">
        <is>
          <t>Admin§105.3Operator Version every interface; refuse a request omitting a version rather than defaulting it; deprecate for a configured support interval with a deprecation indication, then retire naming the successor; a field may be added or deprecated within a version, while removal or a change of type or meaning requires a new version; a citation issued under an earlier version remains valid.</t>
        </is>
      </c>
      <c r="F165" s="2" t="inlineStr">
        <is>
          <t>A request is served only where the requested version is registered and not retired.</t>
        </is>
      </c>
      <c r="G165" s="2">
        <f>IF(AND(2&gt;=1,2&lt;=3),"Served under requested version","Refused - version retired")</f>
        <v/>
      </c>
    </row>
    <row r="166">
      <c r="A166" s="2" t="n">
        <v>165</v>
      </c>
      <c r="B166" s="2" t="inlineStr">
        <is>
          <t>Collaborative Reading</t>
        </is>
      </c>
      <c r="C166" s="2" t="inlineStr">
        <is>
          <t>Interaction Surfaces</t>
        </is>
      </c>
      <c r="D166" s="2" t="inlineStr">
        <is>
          <t>§105.4</t>
        </is>
      </c>
      <c r="E166" s="2" t="inlineStr">
        <is>
          <t>User-facing§105.4Reader Establish a session shared by several readers over one work; present a shared view comprising the intersection of participants' scope descriptions, never the union; a record traversable by one participant and not another is absent and its absence is not reported; annotations keep their own ACLs; queries resolve against the intersection so no participant receives a citation another cannot open.</t>
        </is>
      </c>
      <c r="F166" s="2" t="inlineStr">
        <is>
          <t>Shared view size is the intersection of participant scopes, not the union.</t>
        </is>
      </c>
      <c r="G166" s="2">
        <f>MIN(340,275)</f>
        <v/>
      </c>
    </row>
    <row r="167">
      <c r="A167" s="2" t="n">
        <v>166</v>
      </c>
      <c r="B167" s="2" t="inlineStr">
        <is>
          <t>AR Overlay Presentation</t>
        </is>
      </c>
      <c r="C167" s="2" t="inlineStr">
        <is>
          <t>Interaction Surfaces</t>
        </is>
      </c>
      <c r="D167" s="2" t="inlineStr">
        <is>
          <t>§105.5</t>
        </is>
      </c>
      <c r="E167" s="2" t="inlineStr">
        <is>
          <t>User-facing§105.5Reader Anchor displayed Fact Units with citations to physical objects in a live camera feed as a presentation surface only, under the unchanged vocabulary constraint; exclude person and animal classifications entirely at any confidence; capture and derive no gaze, dwell, head-pose or attention signal and expose none to commerce or plugins; display no overlay where object identification does not clear its threshold.</t>
        </is>
      </c>
      <c r="F167" s="2" t="inlineStr">
        <is>
          <t>A person- or animal-classified result is never anchored, at any confidence and in any configuration.</t>
        </is>
      </c>
      <c r="G167" s="2">
        <f>IF(COUNTIF({"object","person","animal"},"person")&gt;0,"Excluded from overlay","Anchor overlay to object")</f>
        <v/>
      </c>
    </row>
    <row r="168">
      <c r="A168" s="2" t="n">
        <v>167</v>
      </c>
      <c r="B168" s="2" t="inlineStr">
        <is>
          <t>Voice Navigation</t>
        </is>
      </c>
      <c r="C168" s="2" t="inlineStr">
        <is>
          <t>Interaction Surfaces</t>
        </is>
      </c>
      <c r="D168" s="2" t="inlineStr">
        <is>
          <t>§105.6</t>
        </is>
      </c>
      <c r="E168" s="2" t="inlineStr">
        <is>
          <t>User-facing§105.6Reader Accept spoken command and query input under explicit session-scoped revocable consent, distinct from prosodic analysis; route the transcription through the Language Command Router separating query from operational intent; request clarification below the confidence threshold rather than selecting an interpretation; discard audio after transcription; derive no voiceprint or biometric identifier; require second-modality confirmation for any state-changing instruction.</t>
        </is>
      </c>
      <c r="F168" s="2" t="inlineStr">
        <is>
          <t>Intent is applied only where classification clears the configured confidence threshold under active consent.</t>
        </is>
      </c>
      <c r="G168" s="2">
        <f>IF(AND(1=1,0.82&gt;=0.7),"Routed as operational intent","Clarification requested")</f>
        <v/>
      </c>
    </row>
    <row r="169">
      <c r="A169" s="2" t="n">
        <v>168</v>
      </c>
      <c r="B169" s="2" t="inlineStr">
        <is>
          <t>Spoiler Protection</t>
        </is>
      </c>
      <c r="C169" s="2" t="inlineStr">
        <is>
          <t>Interaction Surfaces</t>
        </is>
      </c>
      <c r="D169" s="2" t="inlineStr">
        <is>
          <t>§105.7</t>
        </is>
      </c>
      <c r="E169" s="2" t="inlineStr">
        <is>
          <t>User-facing§105.7Reader Record a reader progress marker and a narrative position for each Fact Unit of the work; bound the reader's scope description by the marker so a later-disclosed record is not traversable rather than masked in a rendered answer; state that an answer lies beyond the current position without disclosing its content; reader election with an author-configurable default, never applied to an instructor, researcher or author over their own work.</t>
        </is>
      </c>
      <c r="F169" s="2" t="inlineStr">
        <is>
          <t>A Fact Unit is traversable only where its narrative position does not exceed the reader's progress marker.</t>
        </is>
      </c>
      <c r="G169" s="2">
        <f>IF(14&lt;=22,"Within reader position; shown","Masked - beyond reader position")</f>
        <v/>
      </c>
    </row>
    <row r="170">
      <c r="A170" s="2" t="n">
        <v>169</v>
      </c>
      <c r="B170" s="2" t="inlineStr">
        <is>
          <t>Learner Progress Tracking</t>
        </is>
      </c>
      <c r="C170" s="2" t="inlineStr">
        <is>
          <t>Learning &amp; Assessment</t>
        </is>
      </c>
      <c r="D170" s="2" t="inlineStr">
        <is>
          <t>§105.8</t>
        </is>
      </c>
      <c r="E170" s="2" t="inlineStr">
        <is>
          <t>User-facing§105.8Student / Instructor Record position reached, items attempted, responses submitted and outcomes scored against the Fact Units the items were generated from; compute mastery as the proportion of objective-attributable items answered correctly against a threshold; bound instructor visibility by a time-scoped class grant so expiry removes it without further action; generate no aptitude inference, forecast or comparative ranking, and admit no progress record as a calibration subject.</t>
        </is>
      </c>
      <c r="F170" s="2" t="inlineStr">
        <is>
          <t>Mastery = correct items attributable to the objective / items attempted, against the configured threshold.</t>
        </is>
      </c>
      <c r="G170" s="2">
        <f>IF(17/20&gt;=0.8,"Objective met","Continue practice")</f>
        <v/>
      </c>
    </row>
    <row r="171">
      <c r="A171" s="2" t="n">
        <v>170</v>
      </c>
      <c r="B171" s="2" t="inlineStr">
        <is>
          <t>LMS Integration</t>
        </is>
      </c>
      <c r="C171" s="2" t="inlineStr">
        <is>
          <t>External Integration &amp; Analysis</t>
        </is>
      </c>
      <c r="D171" s="2" t="inlineStr">
        <is>
          <t>§105.9</t>
        </is>
      </c>
      <c r="E171" s="2" t="inlineStr">
        <is>
          <t>Admin§105.9Operator / Instructor Connect a learning management system through the Source Connector Registry under a declared capability set; refuse an undeclared operation at the boundary rather than attempting it; a roster read establishes instructor grant scope and confers no entitlement; a grade write transmits the outcome alone with no Fact Unit, response text or history; record every transmission with connector identity, capability exercised and fields sent.</t>
        </is>
      </c>
      <c r="F171" s="2" t="inlineStr">
        <is>
          <t>An operation proceeds only where its capability is declared in the registered connector contract.</t>
        </is>
      </c>
      <c r="G171" s="2">
        <f>IF(COUNTIF({"roster-read","grade-write"},"grade-write")&gt;0,"Grade passback permitted","Refused - capability undeclared")</f>
        <v/>
      </c>
    </row>
    <row r="172">
      <c r="A172" s="2" t="n">
        <v>171</v>
      </c>
      <c r="B172" s="2" t="inlineStr">
        <is>
          <t>Multi-Edition Print Layout</t>
        </is>
      </c>
      <c r="C172" s="2" t="inlineStr">
        <is>
          <t>Authoring, Editions &amp; Publication</t>
        </is>
      </c>
      <c r="D172" s="2" t="inlineStr">
        <is>
          <t>§105.10</t>
        </is>
      </c>
      <c r="E172" s="2" t="inlineStr">
        <is>
          <t>Admin§105.10Publisher Compose a work into paginated print-ready form per edition from common Fact Units through regeneration, so an edition is a rendering rather than a copy; perform rights validation for territory, quantity and interval before composition and carry a reference to it in the composed form; reproduce wording-operative spans verbatim with non-operative glosses marked; compose accessible equivalents at the same production stage; keep pagination deterministic so page references stay valid.</t>
        </is>
      </c>
      <c r="F172" s="2" t="inlineStr">
        <is>
          <t>Composition proceeds only where rights validation permits print reproduction in the requested territory, quantity and interval.</t>
        </is>
      </c>
      <c r="G172" s="2">
        <f>IF(AND(1=1,3&lt;=3),"Print export authorized","Refused - rights or edition count")</f>
        <v/>
      </c>
    </row>
    <row r="173">
      <c r="A173" s="2" t="n">
        <v>172</v>
      </c>
      <c r="B173" s="2" t="inlineStr">
        <is>
          <t>Certification</t>
        </is>
      </c>
      <c r="C173" s="2" t="inlineStr">
        <is>
          <t>Learning &amp; Assessment</t>
        </is>
      </c>
      <c r="D173" s="2" t="inlineStr">
        <is>
          <t>§105.11</t>
        </is>
      </c>
      <c r="E173" s="2" t="inlineStr">
        <is>
          <t>User-facing§105.11Instructor / Student Issue a credential on both a measured outcome meeting the configured threshold and an identity established to the issuer's standard; carry as provenance the objectives assessed, items presented, source Fact Units, thresholds applied and issuing identity; permit third-party verification of issuance and non-revocation without disclosing the holder's responses; attest to the measured outcome and nothing further; record revocation rather than deleting.</t>
        </is>
      </c>
      <c r="F173" s="2" t="inlineStr">
        <is>
          <t>Issuance requires threshold satisfaction AND identity establishment; neither alone suffices.</t>
        </is>
      </c>
      <c r="G173" s="2">
        <f>IF(AND(0.85&gt;=0.8,1=1),"Credential issued","Withheld - threshold or identity unmet")</f>
        <v/>
      </c>
    </row>
    <row r="174">
      <c r="A174" s="2" t="n">
        <v>173</v>
      </c>
      <c r="B174" s="2" t="inlineStr">
        <is>
          <t>Rights and Licensing Portal</t>
        </is>
      </c>
      <c r="C174" s="2" t="inlineStr">
        <is>
          <t>Access, Rights &amp; Retention</t>
        </is>
      </c>
      <c r="D174" s="2" t="inlineStr">
        <is>
          <t>§105.12</t>
        </is>
      </c>
      <c r="E174" s="2" t="inlineStr">
        <is>
          <t>Admin§105.12Operator / Publisher Expose the licence and entitlement mechanism through a portal under the existing role model and time-scoped grants; the portal renders capability and confers none; rights holders view licences, outstanding entitlements and the audit record, operators administer seats and assignment within role scope, grantees hold a read-only view of grants over them; record every action with acting identity and stated reason; a revocation takes effect at the next query execution.</t>
        </is>
      </c>
      <c r="F174" s="2" t="inlineStr">
        <is>
          <t>A portal action is available only where the acting role already holds that capability elsewhere.</t>
        </is>
      </c>
      <c r="G174" s="2">
        <f>IF(COUNTIF({"view","revoke"},"grant")&gt;0,"Action available to role","Read-only view")</f>
        <v/>
      </c>
    </row>
    <row r="175">
      <c r="A175" s="2" t="n">
        <v>174</v>
      </c>
      <c r="B175" s="2" t="inlineStr">
        <is>
          <t>Hyperedge Attention</t>
        </is>
      </c>
      <c r="C175" s="2" t="inlineStr">
        <is>
          <t>World Model &amp; Perception</t>
        </is>
      </c>
      <c r="D175" s="2" t="inlineStr">
        <is>
          <t>§53.7.1</t>
        </is>
      </c>
      <c r="E175" s="2" t="inlineStr">
        <is>
          <t>Where a reasoning operation traverses a hyperedge linking several Fact Units, weight each constituent's contribution by its own ConfidenceScore and its degree of corroboration with the hyperedge's other constituents, rather than contributing equally regardless of reliability. Under §41.6.2 those two quantities are the Beta posterior mean and the accumulated evidence count, so the weight is the product of the two parameters the confidence representation already holds. A weighting refinement over the World Model Domain's existing hypergraph traversal, not a new traversal mechanism.</t>
        </is>
      </c>
      <c r="F175" s="2" t="inlineStr">
        <is>
          <t>Constituent weight = CS_i * (alpha_i + beta_i), normalized across the hyperedge's constituents.</t>
        </is>
      </c>
      <c r="G175" s="2">
        <f>0.92*20/(0.92*20+0.85*6+0.78*3)</f>
        <v/>
      </c>
    </row>
    <row r="176">
      <c r="A176" s="2" t="n">
        <v>175</v>
      </c>
      <c r="B176" s="2" t="inlineStr">
        <is>
          <t>Attractor-Based Hyperedge Completion</t>
        </is>
      </c>
      <c r="C176" s="2" t="inlineStr">
        <is>
          <t>World Model &amp; Perception</t>
        </is>
      </c>
      <c r="D176" s="2" t="inlineStr">
        <is>
          <t>§53.7.2</t>
        </is>
      </c>
      <c r="E176" s="2" t="inlineStr">
        <is>
          <t>Complete a partially-observed hyperedge — a geometric contour with observed points and gaps — by applying the Attractor Network's existing convergence dynamics (§7.2.4) to the constituent set as a whole, converging toward the most consistent complete configuration given the observed constituents and their §53.7.1 attention weights. Distinct from WorldModel.Infer, which completes a general scene by Schema, Physics, Affordance and Relation rules: this is geometric, hyperedge-granular and convergence-based. It introduces no dynamical system of its own; it is Claim 6's mechanism applied at hyperedge granularity.</t>
        </is>
      </c>
      <c r="F176" s="2" t="inlineStr">
        <is>
          <t>Completion is admitted only where attention-weighted support for the converged configuration clears the configured floor.</t>
        </is>
      </c>
      <c r="G176" s="2">
        <f>IF(0.712&gt;=0.6,"Hyperedge completed","Insufficient support - gap reported")</f>
        <v/>
      </c>
    </row>
    <row r="177">
      <c r="A177" s="2" t="n">
        <v>176</v>
      </c>
      <c r="B177" s="2" t="inlineStr">
        <is>
          <t>Domain Transfer Matrix</t>
        </is>
      </c>
      <c r="C177" s="2" t="inlineStr">
        <is>
          <t>Prime Directive</t>
        </is>
      </c>
      <c r="D177" s="2" t="inlineStr">
        <is>
          <t>§106.4</t>
        </is>
      </c>
      <c r="E177" s="2" t="inlineStr">
        <is>
          <t>Assign every ordered pair of domains a permission of ALLOW, DENY or TRANSFORM-REQUIRED; evaluate it at each boundary crossing; treat a pair with no entry as DENY; record every crossing in the Provenance Ledger with source domain, target domain and permission applied. The denials carry the accuracy guarantees: D12 to D4 denied so analysis never grounds an answer, D13 to D4 and D7 denied so commerce never influences retrieval or generation, D9 to D2 denied so no surface bypasses the slice, D11 to D0 denied so governance cannot amend the Prime Directive.</t>
        </is>
      </c>
      <c r="F177" s="2" t="inlineStr">
        <is>
          <t>A crossing proceeds only where the matrix entry is ALLOW or a satisfied TRANSFORM-REQUIRED; an absent entry is DENY.</t>
        </is>
      </c>
      <c r="G177" s="2">
        <f>IF(COUNTIF({"ALLOW","TRANSFORM-REQUIRED"},"DENY")&gt;0,"Transfer permitted","Refused - DENY edge in matrix")</f>
        <v/>
      </c>
    </row>
    <row r="178">
      <c r="A178" s="2" t="n">
        <v>177</v>
      </c>
      <c r="B178" s="2" t="inlineStr">
        <is>
          <t>Query/Ingestion Path Separation</t>
        </is>
      </c>
      <c r="C178" s="2" t="inlineStr">
        <is>
          <t>Prime Directive</t>
        </is>
      </c>
      <c r="D178" s="2" t="inlineStr">
        <is>
          <t>§106.3</t>
        </is>
      </c>
      <c r="E178" s="2" t="inlineStr">
        <is>
          <t>Partition domains so the latency-critical query path (D8, D4, optionally D5, D7) and the batch ingestion path (D1, D2, D3, D6, D5) intersect only at D0 and D2; resolve contention at D0 by safety-category priority and at D2 by storage tiering; keep extraction out of the retrieval domain so a retrieval never blocks on an extractor and an extraction never blocks on attractor convergence.</t>
        </is>
      </c>
      <c r="F178" s="2" t="inlineStr">
        <is>
          <t>Intersection of the query-path and ingestion-path domain sets must not exceed two (governance and substrate).</t>
        </is>
      </c>
      <c r="G178" s="2">
        <f>IF(2&lt;=2,"Path separation holds","Contention risk - shared domain on both paths")</f>
        <v/>
      </c>
    </row>
    <row r="179">
      <c r="A179" s="2" t="n">
        <v>178</v>
      </c>
      <c r="B179" s="2" t="inlineStr">
        <is>
          <t>Domain Slice Priority Ordering</t>
        </is>
      </c>
      <c r="C179" s="2" t="inlineStr">
        <is>
          <t>Prime Directive</t>
        </is>
      </c>
      <c r="D179" s="2" t="inlineStr">
        <is>
          <t>§106.5</t>
        </is>
      </c>
      <c r="E179" s="2" t="inlineStr">
        <is>
          <t>Meter each domain's operations as bounded compute-accounting units carrying that domain's identifier and fix scheduling priority by domain: D0 highest without exception, D13 lowest so contention omits the commercial region rather than delaying the answer, and latency-path domains ahead of batch-path domains; contain each domain's failure to its own capability, with a D0 failure halting the operation rather than allowing it to proceed unevaluated.</t>
        </is>
      </c>
      <c r="F179" s="2" t="inlineStr">
        <is>
          <t>Governance domain priority must strictly precede commerce domain priority in the scheduling order.</t>
        </is>
      </c>
      <c r="G179" s="2">
        <f>IF(0&lt;13,"Safety slice served ahead of commerce slice","Priority inversion")</f>
        <v/>
      </c>
    </row>
    <row r="180">
      <c r="A180" s="2" t="n">
        <v>179</v>
      </c>
      <c r="B180" s="2" t="inlineStr">
        <is>
          <t>Undiscriminated Hypothesis Detection</t>
        </is>
      </c>
      <c r="C180" s="2" t="inlineStr">
        <is>
          <t>Inference, Prediction &amp; Calibration</t>
        </is>
      </c>
      <c r="D180" s="2" t="inlineStr">
        <is>
          <t>§97.8.1</t>
        </is>
      </c>
      <c r="E180" s="2" t="inlineStr">
        <is>
          <t>Detect continuously where two hypotheses concerning a common subject have posteriors within the configured separation floor while each exceeds a minimum support count; mark the pair undiscriminated and invoke §97.8.2. A pair in which one hypothesis is weakly supported is under-evidenced rather than undiscriminated and is routed to the existing evidence-seeking mechanism instead.</t>
        </is>
      </c>
      <c r="F180" s="2" t="inlineStr">
        <is>
          <t>Undiscriminated where |P(H1) - P(H2)| &lt; separation floor and both accumulated evidence counts exceed the minimum.</t>
        </is>
      </c>
      <c r="G180" s="2">
        <f>IF(ABS(12/16-11/16)&lt;0.15,"Undiscriminated - generate crucial instance","Separated; no instance required")</f>
        <v/>
      </c>
    </row>
    <row r="181">
      <c r="A181" s="2" t="n">
        <v>180</v>
      </c>
      <c r="B181" s="2" t="inlineStr">
        <is>
          <t>Discriminating Instance Selection</t>
        </is>
      </c>
      <c r="C181" s="2" t="inlineStr">
        <is>
          <t>Inference, Prediction &amp; Calibration</t>
        </is>
      </c>
      <c r="D181" s="2" t="inlineStr">
        <is>
          <t>§97.8.2</t>
        </is>
      </c>
      <c r="E181" s="2" t="inlineStr">
        <is>
          <t>For each obtainable candidate observation compute the magnitude of the difference between its likelihood under each hypothesis, and select the maximum; select irrespective of how probable either hypothesis considers the observation, so an observation both predict equally is never selected; withhold generation where no candidate clears the discrimination floor; emit a structured request stating both hypotheses' posteriors under presence and under absence, so the outcome is interpretable before the observation is obtained.</t>
        </is>
      </c>
      <c r="F181" s="2" t="inlineStr">
        <is>
          <t>discrimination(E) = |P(E|H1) - P(E|H2)|; the selected instance maximises it and must clear the discrimination floor.</t>
        </is>
      </c>
      <c r="G181" s="2">
        <f>MAX(ABS(0.9-0.85),ABS(0.88-0.2),ABS(0.55-0.5))</f>
        <v/>
      </c>
    </row>
    <row r="182">
      <c r="A182" s="2" t="n">
        <v>181</v>
      </c>
      <c r="B182" s="2" t="inlineStr">
        <is>
          <t>Hybrid and Edge Deployment Topology</t>
        </is>
      </c>
      <c r="C182" s="2" t="inlineStr">
        <is>
          <t>Platform Governance &amp; Evolution</t>
        </is>
      </c>
      <c r="D182" s="2" t="inlineStr">
        <is>
          <t>§107.1</t>
        </is>
      </c>
      <c r="E182" s="2" t="inlineStr">
        <is>
          <t>Admin§107.1Operator Add hybrid topology (substrate and access domains in customer infrastructure, media and immersive assets in operator infrastructure, scope resolved customer-side and travelling with the request) and edge topology (frequency-selected cache near a reader concentration, holding no authority, answering only where the requester's scope admits every cached record consulted and escalating otherwise, performing no ingestion and constructing no scope); the Chapter 106 domain partition is invariant across all five topologies.</t>
        </is>
      </c>
      <c r="F182" s="2" t="inlineStr">
        <is>
          <t>An edge node serves from cache only where scope admits every cached record consulted and currency is verified; otherwise it escalates.</t>
        </is>
      </c>
      <c r="G182" s="2">
        <f>IF(AND(1=1,45&lt;=80),"Edge node serves from local cache","Escalate to origin mesh")</f>
        <v/>
      </c>
    </row>
    <row r="183">
      <c r="A183" s="2" t="n">
        <v>182</v>
      </c>
      <c r="B183" s="2" t="inlineStr">
        <is>
          <t>Media and Immersion Interfaces</t>
        </is>
      </c>
      <c r="C183" s="2" t="inlineStr">
        <is>
          <t>Interaction Surfaces</t>
        </is>
      </c>
      <c r="D183" s="2" t="inlineStr">
        <is>
          <t>§107.3</t>
        </is>
      </c>
      <c r="E183" s="2" t="inlineStr">
        <is>
          <t>Admin§107.3Operator Extend the §105.1 interface set with a media interface returning deterministic transformations (semantic compression, expansion, colorization, resolution enhancement) carrying the provenance of the transformation, and an immersion interface returning scene descriptions assembled from spatially-detailed records; both resolve a scope before traversal, widen none, carry their own safety gate, capture no gaze or attention signal, and withhold rather than fabricate where detail is insufficient.</t>
        </is>
      </c>
      <c r="F183" s="2" t="inlineStr">
        <is>
          <t>An interface call is served only where the requested interface is a registered member of the interface set.</t>
        </is>
      </c>
      <c r="G183" s="2">
        <f>IF(COUNTIF({"content","query","rights","layout","assessment","edition","semantic","media","immersion"},"media")&gt;0,"Interface registered","Refused - unknown interface")</f>
        <v/>
      </c>
    </row>
    <row r="184">
      <c r="A184" s="2" t="n">
        <v>183</v>
      </c>
      <c r="B184" s="2" t="inlineStr">
        <is>
          <t>Domain Module Replacement</t>
        </is>
      </c>
      <c r="C184" s="2" t="inlineStr">
        <is>
          <t>Platform Governance &amp; Evolution</t>
        </is>
      </c>
      <c r="D184" s="2" t="inlineStr">
        <is>
          <t>§107.2</t>
        </is>
      </c>
      <c r="E184" s="2" t="inlineStr">
        <is>
          <t>Admin§107.2Operator Permit a domain's implementation to be exchanged where the replacement implements every interface the replaced domain exposed at each version still within its support interval, satisfies every transfer-matrix entry in which that domain appeared as source or target, and is admitted through the improvement-proposal mechanism with a named human approval; Domain 0 is a member of the permanently-excluded set and is not replaceable.</t>
        </is>
      </c>
      <c r="F184" s="2" t="inlineStr">
        <is>
          <t>Replacement admitted only where interface-version conformance and transfer-matrix conformance both hold.</t>
        </is>
      </c>
      <c r="G184" s="2">
        <f>IF(AND(2&gt;=2,3&lt;=3),"Module replacement admitted","Refused - interface contract unmet")</f>
        <v/>
      </c>
    </row>
    <row r="185">
      <c r="A185" s="2" t="n">
        <v>184</v>
      </c>
      <c r="B185" s="2" t="inlineStr">
        <is>
          <t>Parallel Multilingual Presentation</t>
        </is>
      </c>
      <c r="C185" s="2" t="inlineStr">
        <is>
          <t>Grounded Expression</t>
        </is>
      </c>
      <c r="D185" s="2" t="inlineStr">
        <is>
          <t>§107.4</t>
        </is>
      </c>
      <c r="E185" s="2" t="inlineStr">
        <is>
          <t>User-facing§107.4Reader Present two or more language realizations of a work simultaneously, aligned by knowledge record rather than by page or sentence position, each generated from the same records so alignment is a property of shared provenance and cannot drift; a citation in either realization resolves to the same record; a record without a realization in one language shows as a gap rather than being filled from the other; wording-operative spans stay in source language in every realization with glosses rendered per target language.</t>
        </is>
      </c>
      <c r="F185" s="2" t="inlineStr">
        <is>
          <t>Alignment confidence is bounded by the least confident of the aligned realizations.</t>
        </is>
      </c>
      <c r="G185" s="2">
        <f>MIN(0.94,0.91)</f>
        <v/>
      </c>
    </row>
    <row r="186">
      <c r="A186" s="2" t="n">
        <v>185</v>
      </c>
      <c r="B186" s="2" t="inlineStr">
        <is>
          <t>Tenant-Scoped Key Custody</t>
        </is>
      </c>
      <c r="C186" s="2" t="inlineStr">
        <is>
          <t>Access, Rights &amp; Retention</t>
        </is>
      </c>
      <c r="D186" s="2" t="inlineStr">
        <is>
          <t>§107.5</t>
        </is>
      </c>
      <c r="E186" s="2" t="inlineStr">
        <is>
          <t>Admin§107.5Operator Scope each encryption key to a tenant or deployment so a key of one tenant decrypts no content of another; hold key material within a hardware or equivalent custody boundary where configured, so the system holds a handle and every use is a call across the boundary rather than a read of key material; the zero-knowledge reader-history election and the no-operator-key message channel classification are unchanged and are not weakened by the presence of a hardware module.</t>
        </is>
      </c>
      <c r="F186" s="2" t="inlineStr">
        <is>
          <t>A decryption proceeds only where a key scoped to the requesting tenant resolves.</t>
        </is>
      </c>
      <c r="G186" s="2">
        <f>IF(COUNTIF({"tenant-A","tenant-B"},"tenant-A")&gt;0,"Key resolved for tenant","Refused - no tenant key")</f>
        <v/>
      </c>
    </row>
    <row r="187">
      <c r="A187" s="2" t="n">
        <v>186</v>
      </c>
      <c r="B187" s="2" t="inlineStr">
        <is>
          <t>Signed Provenance Ledger Verification</t>
        </is>
      </c>
      <c r="C187" s="2" t="inlineStr">
        <is>
          <t>Access, Rights &amp; Retention</t>
        </is>
      </c>
      <c r="D187" s="2" t="inlineStr">
        <is>
          <t>§107.5</t>
        </is>
      </c>
      <c r="E187" s="2" t="inlineStr">
        <is>
          <t>Admin§107.5Operator Sign each provenance chain node under a deployment key in addition to its keyed checksum, so a third party holding the verification key can confirm that a recorded operation and its recorded safety evaluation are as written, without access to the producing system; verification establishes fidelity of the record and nothing about the correctness of the operation recorded.</t>
        </is>
      </c>
      <c r="F187" s="2" t="inlineStr">
        <is>
          <t>A ledger entry is admitted to a verification report only where its signature verifies against the deployment key.</t>
        </is>
      </c>
      <c r="G187" s="2">
        <f>IF(0.88&gt;=0.8,"Signature verified; entry admitted","Refused - ledger signature mismatch")</f>
        <v/>
      </c>
    </row>
    <row r="188">
      <c r="A188" s="2" t="n">
        <v>187</v>
      </c>
      <c r="B188" s="2" t="inlineStr">
        <is>
          <t>Reasoning Mode Classification</t>
        </is>
      </c>
      <c r="C188" s="2" t="inlineStr">
        <is>
          <t>Inference, Prediction &amp; Calibration</t>
        </is>
      </c>
      <c r="D188" s="2" t="inlineStr">
        <is>
          <t>§108.1</t>
        </is>
      </c>
      <c r="E188" s="2" t="inlineStr">
        <is>
          <t>Classify every inference as entailed (a conclusion following necessarily from admitted records) or conjectural; admit an entailed conclusion as a knowledge record with a derived-inference type and a confidence equal to the product of the contributing edge confidences; withhold a conjectural conclusion from admission and emit it with status PROPOSED, with no automated process configured to transition it to VALIDATED. Deduction may write to the knowledge store; induction and abduction may not.</t>
        </is>
      </c>
      <c r="F188" s="2" t="inlineStr">
        <is>
          <t>An inference is admitted as a record only where it is entailed; a conjectural inference is emitted PROPOSED and creates nothing.</t>
        </is>
      </c>
      <c r="G188" s="2">
        <f>IF(COUNTIF({"entailed","conjectural"},"conjectural")&gt;0,"Refused - emit as PROPOSED","Admit as fact")</f>
        <v/>
      </c>
    </row>
    <row r="189">
      <c r="A189" s="2" t="n">
        <v>188</v>
      </c>
      <c r="B189" s="2" t="inlineStr">
        <is>
          <t>Inductive Support Threshold</t>
        </is>
      </c>
      <c r="C189" s="2" t="inlineStr">
        <is>
          <t>Inference, Prediction &amp; Calibration</t>
        </is>
      </c>
      <c r="D189" s="2" t="inlineStr">
        <is>
          <t>§108.3</t>
        </is>
      </c>
      <c r="E189" s="2" t="inlineStr">
        <is>
          <t>Operate the evidence-integration layer: accumulate corroborating and contradicting evidence as posterior parameters, weight corroboration by source independence, elevate confidence for cross-modal agreement within a temporal window, hold a concept provisional until the consolidation count is met, and retain every contradiction too weak to revise the model so a pattern of individually-insignificant negatives stays queryable. A generalization is emitted only where subordinate support and evidential strength both clear their floors.</t>
        </is>
      </c>
      <c r="F189" s="2" t="inlineStr">
        <is>
          <t>A generalization is proposed only where the subordinate count clears the minimum and the supporting evidence exceeds the contradicting evidence.</t>
        </is>
      </c>
      <c r="G189" s="2">
        <f>IF(AND(4&gt;=3,0.78&gt;0.62),"Inductive support sufficient; hypothesis proposed","Insufficient - no proposal")</f>
        <v/>
      </c>
    </row>
    <row r="190">
      <c r="A190" s="2" t="n">
        <v>189</v>
      </c>
      <c r="B190" s="2" t="inlineStr">
        <is>
          <t>Observation Diversity Measure</t>
        </is>
      </c>
      <c r="C190" s="2" t="inlineStr">
        <is>
          <t>Inference, Prediction &amp; Calibration</t>
        </is>
      </c>
      <c r="D190" s="2" t="inlineStr">
        <is>
          <t>§41.6.5.2</t>
        </is>
      </c>
      <c r="E190" s="2" t="inlineStr">
        <is>
          <t>Attribute every increment of the confidence parameters to a registered source class and compute the effective number of contributing classes as the reciprocal of the summed squared weight proportions; admit a corroboration from an already-dominant class at reduced weight; require a diversity floor as well as a count floor before proposing a generalization; attenuate precision-weighted revision where a contradiction's diversity approaches unity; and disclose concentration in an output relying on a record below the diversity threshold.</t>
        </is>
      </c>
      <c r="F190" s="2" t="inlineStr">
        <is>
          <t>D = 1 / sum_i (w_i / sum_j w_j)^2 over registered source classes; D=1 where all weight is in one class.</t>
        </is>
      </c>
      <c r="G190" s="2">
        <f>1/((8/20)^2+(4/20)^2+(4/20)^2+(2/20)^2+(2/20)^2)</f>
        <v/>
      </c>
    </row>
    <row r="191">
      <c r="A191" s="2" t="n">
        <v>190</v>
      </c>
      <c r="B191" s="2" t="inlineStr">
        <is>
          <t>Context Modulation</t>
        </is>
      </c>
      <c r="C191" s="2" t="inlineStr">
        <is>
          <t>Interaction Surfaces</t>
        </is>
      </c>
      <c r="D191" s="2" t="inlineStr">
        <is>
          <t>§109.2</t>
        </is>
      </c>
      <c r="E191" s="2" t="inlineStr">
        <is>
          <t>Modulate an already-admissible result for device class, network condition, session type and referenced environment record: select among entitled editions, offer an available media transformation, adapt layout, and supply a temporal or edition scoping hint. Where a context signal would select an unentitled edition, fall back to an entitled one and disclose the fallback. Rights enforcement is not an output of this layer; the Slice Resolver and rights validation decide availability before any modulation runs.</t>
        </is>
      </c>
      <c r="F191" s="2" t="inlineStr">
        <is>
          <t>A modulation is applied only where it leaves the admissible record set unchanged; otherwise it is refused.</t>
        </is>
      </c>
      <c r="G191" s="2">
        <f>IF(AND(1=1,0=0),"Modulation applied within admissible set","Refused - would alter admissible set")</f>
        <v/>
      </c>
    </row>
    <row r="192">
      <c r="A192" s="2" t="n">
        <v>191</v>
      </c>
      <c r="B192" s="2" t="inlineStr">
        <is>
          <t>Perspective Modulation</t>
        </is>
      </c>
      <c r="C192" s="2" t="inlineStr">
        <is>
          <t>Interaction Surfaces</t>
        </is>
      </c>
      <c r="D192" s="2" t="inlineStr">
        <is>
          <t>§109.3</t>
        </is>
      </c>
      <c r="E192" s="2" t="inlineStr">
        <is>
          <t>Modulate framing by the role a requester elects for the session — reader, author, instructor, student, researcher, publisher, operator — selecting which relationships among admitted records surface first and how explanations are framed; a student sees learning pathways, an author revision pathways, a publisher rights pathways over identical records. Electing a perspective confers no capability: it frames the records the requester's own entitlement already admits.</t>
        </is>
      </c>
      <c r="F192" s="2" t="inlineStr">
        <is>
          <t>A perspective lens is applied where the elected role is registered; it alters ordering and framing, never the admitted set.</t>
        </is>
      </c>
      <c r="G192" s="2">
        <f>IF(COUNTIF({"reader","instructor","operator"},"instructor")&gt;0,"Role lens applied","Default lens")</f>
        <v/>
      </c>
    </row>
    <row r="193">
      <c r="A193" s="2" t="n">
        <v>192</v>
      </c>
      <c r="B193" s="2" t="inlineStr">
        <is>
          <t>Ergonomic Modulation</t>
        </is>
      </c>
      <c r="C193" s="2" t="inlineStr">
        <is>
          <t>Interaction Surfaces</t>
        </is>
      </c>
      <c r="D193" s="2" t="inlineStr">
        <is>
          <t>§109.4</t>
        </is>
      </c>
      <c r="E193" s="2" t="inlineStr">
        <is>
          <t>Modulate density, layout, legibility and emphasis from reading pace, interaction pattern, display and input characteristics, accessibility settings and the §50.4 ergonomic preference signals. A stated preference always takes precedence over an inferred signal. Compression selects among admissible records and shortens their expression without summarising beyond what they support. An inferred cognitive-load signal modulates presentation only, produces no record, and reaches no other layer, commerce or interface.</t>
        </is>
      </c>
      <c r="F193" s="2" t="inlineStr">
        <is>
          <t>Stated preference governs wherever a stated and an inferred signal bear on the same dimension.</t>
        </is>
      </c>
      <c r="G193" s="2">
        <f>IF(COUNTIF({"stated","inferred"},"stated")&gt;0,"Stated preference governs","Inferred signal applied")</f>
        <v/>
      </c>
    </row>
    <row r="194">
      <c r="A194" s="2" t="n">
        <v>193</v>
      </c>
      <c r="B194" s="2" t="inlineStr">
        <is>
          <t>Cultural Modulation</t>
        </is>
      </c>
      <c r="C194" s="2" t="inlineStr">
        <is>
          <t>Interaction Surfaces</t>
        </is>
      </c>
      <c r="D194" s="2" t="inlineStr">
        <is>
          <t>§109.5</t>
        </is>
      </c>
      <c r="E194" s="2" t="inlineStr">
        <is>
          <t>Modulate for locale, regional convention, idiom and localized examples, selecting among admissible expressions and entitled territory-specific editions. The cultural profile is declared by the requester, by an operator, or by an explicitly selected locale — never inferred from a name, network address, query language, device locale or behaviour. Where no equivalent is registered for a locale, render plainly rather than substituting an unregistered equivalent.</t>
        </is>
      </c>
      <c r="F194" s="2" t="inlineStr">
        <is>
          <t>A cultural modulation applies only from a declared profile; an inferred profile is refused.</t>
        </is>
      </c>
      <c r="G194" s="2">
        <f>IF(COUNTIF({"declared","inferred"},"inferred")&gt;0,"Refused - cultural profile must be declared","Declared profile applied")</f>
        <v/>
      </c>
    </row>
    <row r="195">
      <c r="A195" s="2" t="n">
        <v>194</v>
      </c>
      <c r="B195" s="2" t="inlineStr">
        <is>
          <t>Social Modulation</t>
        </is>
      </c>
      <c r="C195" s="2" t="inlineStr">
        <is>
          <t>Interaction Surfaces</t>
        </is>
      </c>
      <c r="D195" s="2" t="inlineStr">
        <is>
          <t>§109.6</t>
        </is>
      </c>
      <c r="E195" s="2" t="inlineStr">
        <is>
          <t>Modulate pacing, shared position, shared annotation surfaces, register and formality for class, group-reading, collaborative-authoring and instructor-guided settings, operating strictly within the intersection of participants' scope descriptions so no participant is shown a record another's entitlement excludes and no absence is disclosed. A social annotation keeps its author's identity and its own ACL, which this layer does not widen; a group setting confers no entitlement.</t>
        </is>
      </c>
      <c r="F195" s="2" t="inlineStr">
        <is>
          <t>Social modulation operates within the intersection of participant scopes, never their union.</t>
        </is>
      </c>
      <c r="G195" s="2">
        <f>MIN(340,275)</f>
        <v/>
      </c>
    </row>
    <row r="196">
      <c r="A196" s="2" t="n">
        <v>195</v>
      </c>
      <c r="B196" s="2" t="inlineStr">
        <is>
          <t>Interpretive Composition Order</t>
        </is>
      </c>
      <c r="C196" s="2" t="inlineStr">
        <is>
          <t>Prime Directive</t>
        </is>
      </c>
      <c r="D196" s="2" t="inlineStr">
        <is>
          <t>§109.7</t>
        </is>
      </c>
      <c r="E196" s="2" t="inlineStr">
        <is>
          <t>Compose the five modulations in fixed order over an already-admissible result — perspective, cultural, social, ergonomic, context — with Prime Directive review preceding and following the whole composition and overriding every layer. Composition is deterministic: identical result plus identical configuration yields identical modulated output. A stated preference overrides an inferred signal at any stage, and where two layers modulate one dimension incompatibly the later stage governs form and the earlier substance.</t>
        </is>
      </c>
      <c r="F196" s="2" t="inlineStr">
        <is>
          <t>Governance review precedes stage 1 and follows stage 6; a stated preference overrides an inferred signal at any stage.</t>
        </is>
      </c>
      <c r="G196" s="2">
        <f>IF(0&lt;1,"Safety modulation precedes all interpretive layers","Precedence inversion")</f>
        <v/>
      </c>
    </row>
    <row r="197">
      <c r="A197" s="2" t="n">
        <v>196</v>
      </c>
      <c r="B197" s="2" t="inlineStr">
        <is>
          <t>Response Feedback Admission</t>
        </is>
      </c>
      <c r="C197" s="2" t="inlineStr">
        <is>
          <t>Inference, Prediction &amp; Calibration</t>
        </is>
      </c>
      <c r="D197" s="2" t="inlineStr">
        <is>
          <t>§110.2Reader</t>
        </is>
      </c>
      <c r="E197" s="2" t="inlineStr">
        <is>
          <t>Record every delivered response with its query, scope description, cited records and their confidence at delivery; admit a reader's report on that response as a knowledge record through the ordinary extraction path with the reporting identity as attributed source. A report against a cited record increments that record's contradicting parameter by the source's weight — it does not set confidence, supersede the record or remove it. The reporting identity counts as a source class, so ten reports from one identity weigh less than ten from ten. A report is never admissible as grounding for the subject matter it concerns.</t>
        </is>
      </c>
      <c r="F197" s="2" t="inlineStr">
        <is>
          <t>A contradicting report increments beta by the reporting source's reliability weight; confidence follows from §41.6.2 arithmetic.</t>
        </is>
      </c>
      <c r="G197" s="2">
        <f>18/(18+2+0.85)</f>
        <v/>
      </c>
    </row>
    <row r="198">
      <c r="A198" s="2" t="n">
        <v>197</v>
      </c>
      <c r="B198" s="2" t="inlineStr">
        <is>
          <t>Outcome Pairing and Subject Gate</t>
        </is>
      </c>
      <c r="C198" s="2" t="inlineStr">
        <is>
          <t>Inference, Prediction &amp; Calibration</t>
        </is>
      </c>
      <c r="D198" s="2" t="inlineStr">
        <is>
          <t>§110.3</t>
        </is>
      </c>
      <c r="E198" s="2" t="inlineStr">
        <is>
          <t>Admit an outcome observation recording what subsequently occurred in respect of a matter a response addressed, pair it with the response record, and refuse construction where the subject resolves to an individual natural person so no per-individual predictive record accumulates from operational use; institutional, organisational, system and aggregate-group subjects are admissible.</t>
        </is>
      </c>
      <c r="F198" s="2" t="inlineStr">
        <is>
          <t>Construction is refused where the resolved subject class is an individual natural person.</t>
        </is>
      </c>
      <c r="G198" s="2">
        <f>IF(COUNTIF({"institution","process"},"individual")&gt;0,"Refused - individual subject","Outcome admitted")</f>
        <v/>
      </c>
    </row>
    <row r="199">
      <c r="A199" s="2" t="n">
        <v>198</v>
      </c>
      <c r="B199" s="2" t="inlineStr">
        <is>
          <t>Delivered-Answer Calibration Score</t>
        </is>
      </c>
      <c r="C199" s="2" t="inlineStr">
        <is>
          <t>Inference, Prediction &amp; Calibration</t>
        </is>
      </c>
      <c r="D199" s="2" t="inlineStr">
        <is>
          <t>§110.4</t>
        </is>
      </c>
      <c r="E199" s="2" t="inlineStr">
        <is>
          <t>Compute over paired responses and outcomes the mean of squared differences between the confidence stated at delivery and the realised outcome, per domain and per confidence band, so a system well calibrated in one domain and poorly in another is not concealed by an aggregate; a finding of poor calibration is as reportable as one of good calibration and identifies where a confidence value should not be offered at its current precision.</t>
        </is>
      </c>
      <c r="F199" s="2" t="inlineStr">
        <is>
          <t>score = sum (c_i - o_i)^2 / n over paired responses and outcomes.</t>
        </is>
      </c>
      <c r="G199" s="2">
        <f>((0.9-1)^2+(0.85-1)^2+(0.8-0)^2+(0.75-1)^2+(0.7-0)^2)/5</f>
        <v/>
      </c>
    </row>
    <row r="200">
      <c r="A200" s="2" t="n">
        <v>199</v>
      </c>
      <c r="B200" s="2" t="inlineStr">
        <is>
          <t>Confidence Band Calibration Gap</t>
        </is>
      </c>
      <c r="C200" s="2" t="inlineStr">
        <is>
          <t>Inference, Prediction &amp; Calibration</t>
        </is>
      </c>
      <c r="D200" s="2" t="inlineStr">
        <is>
          <t>§110.4</t>
        </is>
      </c>
      <c r="E200" s="2" t="inlineStr">
        <is>
          <t>Compute per confidence band the difference between the proportion of realised outcomes and the mean confidence stated in that band; raise a calibration finding where the magnitude reaches the configured tolerance; emit the finding as an improvement proposal to a named human reviewer rather than applying it, with the parameters governing the measurement itself held in the permanently-excluded set so the mechanism cannot adjust the terms on which it is judged.</t>
        </is>
      </c>
      <c r="F200" s="2" t="inlineStr">
        <is>
          <t>gap = observed outcome rate - mean stated confidence within the band; |gap| &gt;= tolerance raises a finding.</t>
        </is>
      </c>
      <c r="G200" s="2">
        <f>IF(ABS((1+1+0+1+1)/5-(0.9+0.85+0.8+0.88+0.92)/5)&gt;=0.05,"Calibration finding raised","Within tolerance")</f>
        <v/>
      </c>
    </row>
    <row r="201">
      <c r="A201" s="2" t="n">
        <v>200</v>
      </c>
      <c r="B201" s="2" t="inlineStr">
        <is>
          <t>Expressive Register Selection</t>
        </is>
      </c>
      <c r="C201" s="2" t="inlineStr">
        <is>
          <t>Grounded Expression</t>
        </is>
      </c>
      <c r="D201" s="2" t="inlineStr">
        <is>
          <t>§111.1</t>
        </is>
      </c>
      <c r="E201" s="2" t="inlineStr">
        <is>
          <t>Select exactly one expressive register per response from a governed, versioned set — formal, plain, academic, instructional, narrative, supportive, authoritative — resolved before generation as an element of the Generation Directive and distinct from audience level and discipline mode; refuse an unregistered register rather than approximating it. A register governs voicing only: it alters no admitted record, no confidence value and no permissible vocabulary, so the authoritative register never removes a hedge a confidence value requires and the supportive register never softens an assertion the records state plainly.</t>
        </is>
      </c>
      <c r="F201" s="2" t="inlineStr">
        <is>
          <t>A register is admitted only where it is a member of the registered set; voicing is governed by register, assertion by confidence.</t>
        </is>
      </c>
      <c r="G201" s="2">
        <f>IF(COUNTIF({"formal","casual","academic","instructional","narrative","supportive","authoritative"},"academic")&gt;0,"Register admitted","Refused - unregistered tone")</f>
        <v/>
      </c>
    </row>
    <row r="202">
      <c r="A202" s="2" t="n">
        <v>201</v>
      </c>
      <c r="B202" s="2" t="inlineStr">
        <is>
          <t>Affective Register Gate</t>
        </is>
      </c>
      <c r="C202" s="2" t="inlineStr">
        <is>
          <t>Grounded Expression</t>
        </is>
      </c>
      <c r="D202" s="2" t="inlineStr">
        <is>
          <t>§111.2</t>
        </is>
      </c>
      <c r="E202" s="2" t="inlineStr">
        <is>
          <t>Select the supportive register only on a stated preference, a configured default for an accessibility or discipline configuration, or the existing consent-gated prosodic signal; never by inference from word choice, punctuation, query length, error rate, retry behaviour or interaction timing, and construct no record of an inferred affective state. Where in effect it acknowledges the requester's stated position, reduces density and avoids imperative construction, while withholding no answer the records support and altering no confidence value.</t>
        </is>
      </c>
      <c r="F202" s="2" t="inlineStr">
        <is>
          <t>The affective register requires a stated preference, a configured default, or a consented signal; an inferred affective state is refused.</t>
        </is>
      </c>
      <c r="G202" s="2">
        <f>IF(COUNTIF({"stated","consented-signal"},"inferred-from-text")&gt;0,"Affective register applied","Refused - affective register requires a stated or consented signal")</f>
        <v/>
      </c>
    </row>
    <row r="203">
      <c r="A203" s="2" t="n">
        <v>202</v>
      </c>
      <c r="B203" s="2" t="inlineStr">
        <is>
          <t>Media-Integrated Expression</t>
        </is>
      </c>
      <c r="C203" s="2" t="inlineStr">
        <is>
          <t>Grounded Expression</t>
        </is>
      </c>
      <c r="D203" s="2" t="inlineStr">
        <is>
          <t>§111.3</t>
        </is>
      </c>
      <c r="E203" s="2" t="inlineStr">
        <is>
          <t>Carry media assets inside a grounded response rather than alongside it, including an asset only where a knowledge record of the stabilized set references it and delivering it with a citation resolving it to that record; withhold an asset supporting no admitted record and an asset whose referencing record the scope description excluded, so no asset conveys what the text could not assert. A transformed asset carries its transformation provenance; an interpretive modulation selects among includable assets and cannot render one includable; an accessible equivalent accompanies each included asset at the same production stage.</t>
        </is>
      </c>
      <c r="F203" s="2" t="inlineStr">
        <is>
          <t>An asset is included only where it is referenced by an admitted record within the scope description, and is delivered with that record's citation.</t>
        </is>
      </c>
      <c r="G203" s="2">
        <f>IF(AND(1=1,0.91&gt;=0.6),"Media asset admitted with citation","Refused - asset does not support a cited record")</f>
        <v/>
      </c>
    </row>
    <row r="204">
      <c r="A204" s="2" t="n">
        <v>203</v>
      </c>
      <c r="B204" s="2" t="inlineStr">
        <is>
          <t>Sentence Aggregation</t>
        </is>
      </c>
      <c r="C204" s="2" t="inlineStr">
        <is>
          <t>Grounded Expression</t>
        </is>
      </c>
      <c r="D204" s="2" t="inlineStr">
        <is>
          <t>§112.2</t>
        </is>
      </c>
      <c r="E204" s="2" t="inlineStr">
        <is>
          <t>Realize propositions sharing a subject and joined by a conjunctive Narrative Graph edge as one sentence with a coordinated predicate, up to a configured maximum; refuse aggregation where confidence values differ beyond tolerance so a weakly-supported proposition is never qualified by coordination with a well-supported one; carry every constituent proposition's citation on the combined sentence so each clause remains resolvable to its record.</t>
        </is>
      </c>
      <c r="F204" s="2" t="inlineStr">
        <is>
          <t>Aggregate where shared-subject propositions number at least two and their confidence values fall within the configured tolerance.</t>
        </is>
      </c>
      <c r="G204" s="2">
        <f>IF(AND(3&gt;=2,1=1),"Aggregate into one sentence","Realize separately")</f>
        <v/>
      </c>
    </row>
    <row r="205">
      <c r="A205" s="2" t="n">
        <v>204</v>
      </c>
      <c r="B205" s="2" t="inlineStr">
        <is>
          <t>Referring Expression Selection</t>
        </is>
      </c>
      <c r="C205" s="2" t="inlineStr">
        <is>
          <t>Grounded Expression</t>
        </is>
      </c>
      <c r="D205" s="2" t="inlineStr">
        <is>
          <t>§112.3</t>
        </is>
      </c>
      <c r="E205" s="2" t="inlineStr">
        <is>
          <t>Realize an entity in full registered form at first mention within a discourse unit and in reduced form thereafter; restore full form where a same-type entity intervenes or a new discourse unit begins. Ambiguity is decided by Ontology Mesh type rather than surface form, and full form is used wherever the test is indeterminate, since an unnecessary repetition costs a reader nothing and an ambiguous pronoun costs them the sentence.</t>
        </is>
      </c>
      <c r="F205" s="2" t="inlineStr">
        <is>
          <t>Reduced form is permitted only where no same-type entity intervenes since the last full mention within the discourse unit.</t>
        </is>
      </c>
      <c r="G205" s="2">
        <f>IF(COUNTIF({"first-mention","same-type-intervening"},"same-type-intervening")&gt;0,"Full form required","Reduced form permitted")</f>
        <v/>
      </c>
    </row>
    <row r="206">
      <c r="A206" s="2" t="n">
        <v>205</v>
      </c>
      <c r="B206" s="2" t="inlineStr">
        <is>
          <t>Connective Emission</t>
        </is>
      </c>
      <c r="C206" s="2" t="inlineStr">
        <is>
          <t>Grounded Expression</t>
        </is>
      </c>
      <c r="D206" s="2" t="inlineStr">
        <is>
          <t>§112.4</t>
        </is>
      </c>
      <c r="E206" s="2" t="inlineStr">
        <is>
          <t>Emit a connective marking the relation type of the Narrative Graph edge joining two sequentially-realized propositions — causal, adversative, expository, illustrative, sequential, concessive — selecting within the class by expressive register and sentence position so no connective recurs mechanically; emit none where no typed edge joins the propositions, since asserting an unbacked relation would assert what no record supports.</t>
        </is>
      </c>
      <c r="F206" s="2" t="inlineStr">
        <is>
          <t>A connective is emitted only where a typed edge joins the two propositions; the class follows the edge type.</t>
        </is>
      </c>
      <c r="G206" s="2">
        <f>IF(COUNTIF({"CONTRASTS","CAUSES","ELABORATES"},"CONTRASTS")&gt;0,"Emit contrastive connective","No connective")</f>
        <v/>
      </c>
    </row>
    <row r="207">
      <c r="A207" s="2" t="n">
        <v>206</v>
      </c>
      <c r="B207" s="2" t="inlineStr">
        <is>
          <t>Given-Before-New Ordering</t>
        </is>
      </c>
      <c r="C207" s="2" t="inlineStr">
        <is>
          <t>Grounded Expression</t>
        </is>
      </c>
      <c r="D207" s="2" t="inlineStr">
        <is>
          <t>§112.5</t>
        </is>
      </c>
      <c r="E207" s="2" t="inlineStr">
        <is>
          <t>Order constituents within a sentence so that material already realized in the preceding sentence precedes material new to the response, computed from the response's own prior content rather than from general familiarity; yield absolutely to target-language syntax, and exempt wording-operative spans, which are reproduced in source order because reordering would alter the wording that carries force.</t>
        </is>
      </c>
      <c r="F207" s="2" t="inlineStr">
        <is>
          <t>A constituent realized in the preceding sentence is ordered ahead of one not yet realized, where target-language syntax permits.</t>
        </is>
      </c>
      <c r="G207" s="2">
        <f>MIN(4,MAX(1,3))</f>
        <v/>
      </c>
    </row>
    <row r="208">
      <c r="A208" s="2" t="n">
        <v>207</v>
      </c>
      <c r="B208" s="2" t="inlineStr">
        <is>
          <t>Fingerprint-Bounded Lexical Variation</t>
        </is>
      </c>
      <c r="C208" s="2" t="inlineStr">
        <is>
          <t>Grounded Expression</t>
        </is>
      </c>
      <c r="D208" s="2" t="inlineStr">
        <is>
          <t>§112.6</t>
        </is>
      </c>
      <c r="E208" s="2" t="inlineStr">
        <is>
          <t>Substitute a registered synonym for a recurring term only where the proposition's semantic fingerprint is unchanged by the substitution, making variation verifiable rather than a source of drift; draw synonymy from resources registered under §4.9 so every admitted substitution is licensed and recorded; never vary a term inside a wording-operative span, a registered canonical entity name, or a governed discipline term.</t>
        </is>
      </c>
      <c r="F208" s="2" t="inlineStr">
        <is>
          <t>A substitution is admitted only where the canonicalized triple's semantic fingerprint is preserved.</t>
        </is>
      </c>
      <c r="G208" s="2">
        <f>IF(0.94&gt;=0.9,"Substitution admitted; fingerprint preserved","Refused - fingerprint would change")</f>
        <v/>
      </c>
    </row>
    <row r="209">
      <c r="A209" s="2" t="n">
        <v>208</v>
      </c>
      <c r="B209" s="2" t="inlineStr">
        <is>
          <t>Commercial Eligibility Determination</t>
        </is>
      </c>
      <c r="C209" s="2" t="inlineStr">
        <is>
          <t>Commerce &amp; Entitlement Tokens</t>
        </is>
      </c>
      <c r="D209" s="2" t="inlineStr">
        <is>
          <t>§113.1</t>
        </is>
      </c>
      <c r="E209" s="2" t="inlineStr">
        <is>
          <t>User-facing§113.1Reader Determine eligibility of a commercial item from four already-established facts about the request — registered rights, recorded territory, delivered edition, device class — and from no other input; inferred ergonomic, cognitive-load and affective signals remain unavailable to commercial selection, a declared cultural profile may bound eligibility where an item's registration is locale-specific; where the eligible set is empty the commercial region is omitted and the omission is not disclosed, since a region that reports having nothing to show conveys information about the requester.</t>
        </is>
      </c>
      <c r="F209" s="2" t="inlineStr">
        <is>
          <t>Eligibility is computed from declared request facts only; any inferred personal signal is barred from the determination.</t>
        </is>
      </c>
      <c r="G209" s="2">
        <f>IF(COUNTIF({"rights","territory","edition","device"},"cognitive-load")&gt;0,"Refused - inferred signal barred from commerce","Eligibility computed from declared facts")</f>
        <v/>
      </c>
    </row>
    <row r="210">
      <c r="A210" s="2" t="n">
        <v>209</v>
      </c>
      <c r="B210" s="2" t="inlineStr">
        <is>
          <t>Placement Class and Density Ceiling</t>
        </is>
      </c>
      <c r="C210" s="2" t="inlineStr">
        <is>
          <t>Commerce &amp; Entitlement Tokens</t>
        </is>
      </c>
      <c r="D210" s="2" t="inlineStr">
        <is>
          <t>§113.2</t>
        </is>
      </c>
      <c r="E210" s="2" t="inlineStr">
        <is>
          <t>User-facing§113.2Reader Present a commercial item only in a registered placement class — inline between sections, edition-aligned, media-adjacent, or spatial within an immersive presentation — each a labelled region never interleaved with response propositions so position distinguishes answer from commerce; bound placements per response and per session by a configured density ceiling, omitting rather than deferring an item that exceeds it; capture and derive no gaze, dwell, head-pose or attention signal in any class.</t>
        </is>
      </c>
      <c r="F210" s="2" t="inlineStr">
        <is>
          <t>A placement is admitted only where the running count remains within the configured per-response and per-session ceiling.</t>
        </is>
      </c>
      <c r="G210" s="2">
        <f>IF(AND(1=1,3&lt;=5),"Placement admitted within density ceiling","Refused - density ceiling exceeded")</f>
        <v/>
      </c>
    </row>
    <row r="211">
      <c r="A211" s="2" t="n">
        <v>210</v>
      </c>
      <c r="B211" s="2" t="inlineStr">
        <is>
          <t>Advertiser Provenance Record</t>
        </is>
      </c>
      <c r="C211" s="2" t="inlineStr">
        <is>
          <t>Commerce &amp; Entitlement Tokens</t>
        </is>
      </c>
      <c r="D211" s="2" t="inlineStr">
        <is>
          <t>§113.3</t>
        </is>
      </c>
      <c r="E211" s="2" t="inlineStr">
        <is>
          <t>Admin§113.3Operator Register each commercial item with the presenting party's verified identity, the rights permitting presentation, covered territories, validity interval and registering operator, refusing registration where any is absent; record each presentation in the Provenance Ledger with item, placement class, occasioning concept identifier, eligibility facts and computed score, so a presentation is auditable against the rules in force at the time. A commercial item is not a knowledge record: not citable, not traversable, contributing to no confidence value, and any assertion within it is labelled as the presenting party's.</t>
        </is>
      </c>
      <c r="F211" s="2" t="inlineStr">
        <is>
          <t>Selection score = weighted sum of relevance, source-priority and bid factors with weights summing to unity; recorded per presentation.</t>
        </is>
      </c>
      <c r="G211" s="2">
        <f>0.4*0.9+0.3*0.7+0.3*0.6</f>
        <v/>
      </c>
    </row>
    <row r="212">
      <c r="A212" s="2" t="n">
        <v>211</v>
      </c>
      <c r="B212" s="2" t="inlineStr">
        <is>
          <t>Territory Price Registration</t>
        </is>
      </c>
      <c r="C212" s="2" t="inlineStr">
        <is>
          <t>Commerce &amp; Entitlement Tokens</t>
        </is>
      </c>
      <c r="D212" s="2" t="inlineStr">
        <is>
          <t>§113.5</t>
        </is>
      </c>
      <c r="E212" s="2" t="inlineStr">
        <is>
          <t>Admin§113.5Operator Register each commerce object — edition, media asset, immersive experience, bundle, institutional or classroom licence, supplemental pack — with the rights permitting sale, the territories in which it may be sold, and a price per territory and currency; withhold the offer in a territory for which no price is registered rather than offering at a default.</t>
        </is>
      </c>
      <c r="F212" s="2" t="inlineStr">
        <is>
          <t>An offer is made only where a price is registered for the request's territory and currency.</t>
        </is>
      </c>
      <c r="G212" s="2">
        <f>IF(COUNTIF({"US","CA","UK"},"US")&gt;0,"Territory price applied","Refused - no price registered for territory")</f>
        <v/>
      </c>
    </row>
    <row r="213">
      <c r="A213" s="2" t="n">
        <v>212</v>
      </c>
      <c r="B213" s="2" t="inlineStr">
        <is>
          <t>Transaction Reconciliation</t>
        </is>
      </c>
      <c r="C213" s="2" t="inlineStr">
        <is>
          <t>Commerce &amp; Entitlement Tokens</t>
        </is>
      </c>
      <c r="D213" s="2" t="inlineStr">
        <is>
          <t>§113.5</t>
        </is>
      </c>
      <c r="E213" s="2" t="inlineStr">
        <is>
          <t>Admin§113.5Operator Perform purchase, rent, subscribe, unlock, upgrade or transfer against a registered commerce object, producing a transaction record carrying acting identity, object, action, price and currency, territory, rights validation relied upon and a ledger reference; supersede rather than delete a prior entitlement on upgrade; refuse a transaction that cannot be reconciled against an entitlement change rather than recording it pending, so entitlement state and transaction history cannot diverge; a token whose state disagrees with the entitlement record raises a divergence finding, the entitlement remaining authoritative.</t>
        </is>
      </c>
      <c r="F213" s="2" t="inlineStr">
        <is>
          <t>A transaction is recorded only where the entitlement change reconciles exactly; an unreconcilable transaction is refused.</t>
        </is>
      </c>
      <c r="G213" s="2">
        <f>IF(0=0,"Ledger balanced; transaction recorded","Refused - transaction not reconcilable")</f>
        <v/>
      </c>
    </row>
    <row r="214">
      <c r="A214" s="2" t="n">
        <v>213</v>
      </c>
      <c r="B214" s="2" t="inlineStr">
        <is>
          <t>Commandable Equipment Registration</t>
        </is>
      </c>
      <c r="C214" s="2" t="inlineStr">
        <is>
          <t>World Model &amp; Perception</t>
        </is>
      </c>
      <c r="D214" s="2" t="inlineStr">
        <is>
          <t>§114.1</t>
        </is>
      </c>
      <c r="E214" s="2" t="inlineStr">
        <is>
          <t>Admin§114.1Operator Register each commandable unit of the capture and inspection class — pan-tilt-zoom head, lighting fixture, bounded-volume capture drone, inspection arm, mobile capture base, positioning stage — with its kinematic envelope, velocity and force limits and operating volume; refuse emission to a unit missing any of these and to any class outside scope. The §96.8 vehicle prohibition is unchanged: vehicle telemetry remains analysis-only and no vehicle control interface exists.</t>
        </is>
      </c>
      <c r="F214" s="2" t="inlineStr">
        <is>
          <t>A command is emitted only to a registered unit of an in-scope class whose registration carries envelope, limits and volume.</t>
        </is>
      </c>
      <c r="G214" s="2">
        <f>IF(COUNTIF({"pan-tilt-head","capture-drone","inspection-arm"},"vehicle")&gt;0,"Refused - class outside authorized scope","Equipment class in scope")</f>
        <v/>
      </c>
    </row>
    <row r="215">
      <c r="A215" s="2" t="n">
        <v>214</v>
      </c>
      <c r="B215" s="2" t="inlineStr">
        <is>
          <t>Session Authorization for Actuation</t>
        </is>
      </c>
      <c r="C215" s="2" t="inlineStr">
        <is>
          <t>World Model &amp; Perception</t>
        </is>
      </c>
      <c r="D215" s="2" t="inlineStr">
        <is>
          <t>§114.3</t>
        </is>
      </c>
      <c r="E215" s="2" t="inlineStr">
        <is>
          <t>Admin§114.3Operator Grant command authority per session rather than per command, recorded with the authorizing operator's identity, covered units, permitted volume, permitted task classes and expiry; halt emission on expiry rather than prompting mid-motion; effect revocation before the next command rather than at plan end; confer no capability over unnamed equipment; record in the Provenance Ledger so every command traces to its authorization and grantor.</t>
        </is>
      </c>
      <c r="F215" s="2" t="inlineStr">
        <is>
          <t>Emission proceeds only while the session authorization is unexpired, unrevoked, and covers the unit, volume and task class.</t>
        </is>
      </c>
      <c r="G215" s="2">
        <f>IF(AND(1=1,120&lt;=300),"Session authorization valid","Refused - authorization expired")</f>
        <v/>
      </c>
    </row>
    <row r="216">
      <c r="A216" s="2" t="n">
        <v>215</v>
      </c>
      <c r="B216" s="2" t="inlineStr">
        <is>
          <t>Pre-Emission Constraint Veto</t>
        </is>
      </c>
      <c r="C216" s="2" t="inlineStr">
        <is>
          <t>World Model &amp; Perception</t>
        </is>
      </c>
      <c r="D216" s="2" t="inlineStr">
        <is>
          <t>§114.5</t>
        </is>
      </c>
      <c r="E216" s="2" t="inlineStr">
        <is>
          <t>Evaluate every command before emission against operating volume, kinematic envelope, velocity and force limits, minimum obstacle clearance, human exclusion distance, inter-unit swept-volume overlap and recording-restricted zones; withhold any violating command unconditionally — not emitted at reduced priority, not emitted with a warning, and not automatically modified into a permissible command.</t>
        </is>
      </c>
      <c r="F216" s="2" t="inlineStr">
        <is>
          <t>A command is emitted only where every constraint test passes; a single violation withholds emission outright.</t>
        </is>
      </c>
      <c r="G216" s="2">
        <f>IF(AND(1=1,0.42&lt;=0.6),"Command emitted","Vetoed - clearance below minimum")</f>
        <v/>
      </c>
    </row>
    <row r="217">
      <c r="A217" s="2" t="n">
        <v>216</v>
      </c>
      <c r="B217" s="2" t="inlineStr">
        <is>
          <t>Safety-Only Human Proximity Detection</t>
        </is>
      </c>
      <c r="C217" s="2" t="inlineStr">
        <is>
          <t>World Model &amp; Perception</t>
        </is>
      </c>
      <c r="D217" s="2" t="inlineStr">
        <is>
          <t>§114.5</t>
        </is>
      </c>
      <c r="E217" s="2" t="inlineStr">
        <is>
          <t>Detect persons solely to compute exclusion clearance along a commanded trajectory; retain no detection beyond the instant of evaluation, admit none to any result set, make none queryable and expose none to any other mechanism. This preserves the standing exclusion of person classifications from result sets while allowing a machine to avoid people: a system that could not see a person could not avoid one, and one that remembers seeing them is a surveillance capability.</t>
        </is>
      </c>
      <c r="F217" s="2" t="inlineStr">
        <is>
          <t>Governing clearance is the lesser of measured distance to a detected person and the configured exclusion distance.</t>
        </is>
      </c>
      <c r="G217" s="2">
        <f>MIN(0.35,0.6)</f>
        <v/>
      </c>
    </row>
    <row r="218">
      <c r="A218" s="2" t="n">
        <v>217</v>
      </c>
      <c r="B218" s="2" t="inlineStr">
        <is>
          <t>Halt Path Independent of Reasoning</t>
        </is>
      </c>
      <c r="C218" s="2" t="inlineStr">
        <is>
          <t>World Model &amp; Perception</t>
        </is>
      </c>
      <c r="D218" s="2" t="inlineStr">
        <is>
          <t>§114.6</t>
        </is>
      </c>
      <c r="E218" s="2" t="inlineStr">
        <is>
          <t>Emit a halt on clearance or proximity breach, stale equipment state, authorization expiry or revocation, sensor-stream loss, or explicit request; evaluate the halt directly from equipment state and constraint set without traversing retrieval, stabilization, generation or interpretive modulation, so it cannot be delayed by a query in progress; place the unit in its registered safe state and require an explicit resume; record every halt so repeated halts on a unit or task class are queryable.</t>
        </is>
      </c>
      <c r="F218" s="2" t="inlineStr">
        <is>
          <t>A halt triggers where measured clearance falls to or below the configured minimum, evaluated outside the reasoning path.</t>
        </is>
      </c>
      <c r="G218" s="2">
        <f>IF(0.42&lt;=0.6,"Halt - clearance breach","Continue")</f>
        <v/>
      </c>
    </row>
    <row r="219">
      <c r="A219" s="2" t="n">
        <v>218</v>
      </c>
      <c r="B219" s="2" t="inlineStr">
        <is>
          <t>Assistive Contact Registration and Hazard Analysis</t>
        </is>
      </c>
      <c r="C219" s="2" t="inlineStr">
        <is>
          <t>World Model &amp; Perception</t>
        </is>
      </c>
      <c r="D219" s="2" t="inlineStr">
        <is>
          <t>§115.1</t>
        </is>
      </c>
      <c r="E219" s="2" t="inlineStr">
        <is>
          <t>Admin§115.1Operator Register a unit making intentional contact with a person under an authorization class disjoint from Chapter 114's, in one of three classes — servant (carries or hands over), assistant (supplements movement), carrier (bears weight); refuse registration where a hazard analysis for the intended task, user and environment has not been completed and recorded with the assessor's identity, since every later requirement is meaningless if the hazards were never enumerated. A device registered under both chapters is governed by the authorization under which a given command was emitted.</t>
        </is>
      </c>
      <c r="F219" s="2" t="inlineStr">
        <is>
          <t>Registration is refused absent a recorded hazard analysis; the two authorization classes confer nothing on one another.</t>
        </is>
      </c>
      <c r="G219" s="2">
        <f>IF(AND(1=1,1=1),"Contact authorized","Refused - both authorizations required")</f>
        <v/>
      </c>
    </row>
    <row r="220">
      <c r="A220" s="2" t="n">
        <v>219</v>
      </c>
      <c r="B220" s="2" t="inlineStr">
        <is>
          <t>Two-Party Contact Authorization</t>
        </is>
      </c>
      <c r="C220" s="2" t="inlineStr">
        <is>
          <t>World Model &amp; Perception</t>
        </is>
      </c>
      <c r="D220" s="2" t="inlineStr">
        <is>
          <t>§115.2</t>
        </is>
      </c>
      <c r="E220" s="2" t="inlineStr">
        <is>
          <t>Admin§115.2Operator / Reader Require a deployment authorization from an identified operator and a contact consent from the assisted person concurrently, neither substituting for the other: deployment establishes contact is permissible, consent establishes it is wanted. Consent is bounded to task class and interval and does not persist across sessions. Withdrawal by the assisted person through any registered channel halts within the registered stopping interval and cannot be overridden by an operator, a representative or a task in progress; an operator halt is not a withdrawal and does not require re-consent.</t>
        </is>
      </c>
      <c r="F220" s="2" t="inlineStr">
        <is>
          <t>Contact proceeds only while both authorizations are held; a withdrawal by the assisted person governs absolutely.</t>
        </is>
      </c>
      <c r="G220" s="2">
        <f>IF(COUNTIF({"assisted-person","operator"},"assisted-person")&gt;0,"Halt - withdrawal by assisted person","Continue")</f>
        <v/>
      </c>
    </row>
    <row r="221">
      <c r="A221" s="2" t="n">
        <v>220</v>
      </c>
      <c r="B221" s="2" t="inlineStr">
        <is>
          <t>Contact Force and Pressure Limits</t>
        </is>
      </c>
      <c r="C221" s="2" t="inlineStr">
        <is>
          <t>World Model &amp; Perception</t>
        </is>
      </c>
      <c r="D221" s="2" t="inlineStr">
        <is>
          <t>§115.5</t>
        </is>
      </c>
      <c r="E221" s="2" t="inlineStr">
        <is>
          <t>Replace the exclusion-distance constraint with a contact constraint set: force and pressure limits registered per body region so a within-limit force over a reduced area is not thereby permitted, registered contact regions, a contact velocity below free-motion velocity, consent currency, and absence of any configuration from which the person could not be released; a violation halts rather than adjusts. Registered values derive from the hazard analysis and the governing standard's biomechanical limits rather than from figures stated in this specification.</t>
        </is>
      </c>
      <c r="F221" s="2" t="inlineStr">
        <is>
          <t>Measured force and pressure at each contact region must not exceed the limit registered for that region.</t>
        </is>
      </c>
      <c r="G221" s="2">
        <f>IF(28&lt;=65,"Within registered limit for contact region","Halt - force limit exceeded")</f>
        <v/>
      </c>
    </row>
    <row r="222">
      <c r="A222" s="2" t="n">
        <v>221</v>
      </c>
      <c r="B222" s="2" t="inlineStr">
        <is>
          <t>Release as Default Failure State</t>
        </is>
      </c>
      <c r="C222" s="2" t="inlineStr">
        <is>
          <t>World Model &amp; Perception</t>
        </is>
      </c>
      <c r="D222" s="2" t="inlineStr">
        <is>
          <t>§115.6</t>
        </is>
      </c>
      <c r="E222" s="2" t="inlineStr">
        <is>
          <t>Design and register every unit so that power loss, control-signal loss, safety-path fault or any halt releases the person rather than retaining them — a gripper that holds on power loss traps whom it was assisting. A weight-bearing unit is excepted only where its registration records redundant support: its safe state is controlled retention with an alert and a bounded interval for transferring support. The release path does not traverse the reasoning path and must operate where that path is unavailable entirely.</t>
        </is>
      </c>
      <c r="F222" s="2" t="inlineStr">
        <is>
          <t>Any fault or halt yields release; retention is permitted only for a registered weight-bearing unit with redundant support.</t>
        </is>
      </c>
      <c r="G222" s="2">
        <f>IF(0=0,"Safe release executed","Fault - grip retained")</f>
        <v/>
      </c>
    </row>
    <row r="223">
      <c r="A223" s="2" t="n">
        <v>222</v>
      </c>
      <c r="B223" s="2" t="inlineStr">
        <is>
          <t>Support Redundancy for Weight-Bearing</t>
        </is>
      </c>
      <c r="C223" s="2" t="inlineStr">
        <is>
          <t>World Model &amp; Perception</t>
        </is>
      </c>
      <c r="D223" s="2" t="inlineStr">
        <is>
          <t>§115.5</t>
        </is>
      </c>
      <c r="E223" s="2" t="inlineStr">
        <is>
          <t>Maintain support for a person whose weight is borne through at least two independent means so no single failure withdraws support; a unit registered without redundant support may not bear weight. Contact is never initiated from inference — only on request by the assisted person, by an operator under held consent, or within a consented task sequence — and no record of the person's body, movement, capability or dependency is constructed, retained or made queryable.</t>
        </is>
      </c>
      <c r="F223" s="2" t="inlineStr">
        <is>
          <t>A weight-bearing command requires at least two independent support means confirmed present.</t>
        </is>
      </c>
      <c r="G223" s="2">
        <f>IF(2&gt;=2,"Redundant support confirmed","Refused - single point of support")</f>
        <v/>
      </c>
    </row>
    <row r="224">
      <c r="A224" s="2" t="n">
        <v>223</v>
      </c>
      <c r="B224" s="2" t="inlineStr">
        <is>
          <t>Energy Descent and Termination</t>
        </is>
      </c>
      <c r="C224" s="2" t="inlineStr">
        <is>
          <t>Retrieval &amp; Response</t>
        </is>
      </c>
      <c r="D224" s="2" t="inlineStr">
        <is>
          <t>§116.1</t>
        </is>
      </c>
      <c r="E224" s="2" t="inlineStr">
        <is>
          <t>Ground convergence in the monotonic decrease of E = -1/2 sum over distinct pairs of w_ij s_i s_j, so termination follows from the descent rather than from an iteration bound and a given initial configuration under given weights reaches an identical stable state every execution; distinguish termination from uniqueness, the capacity bound making a spurious state improbable rather than impossible.</t>
        </is>
      </c>
      <c r="F224" s="2" t="inlineStr">
        <is>
          <t>E = -1/2 sum_{i&lt;j} w_ij s_i s_j; each accepted update strictly decreases E, so no configuration recurs.</t>
        </is>
      </c>
      <c r="G224" s="2">
        <f>-0.5*(2*1*1*1+2*-1*1*1+2*1*1*1+2*1*1*1+2*-1*1*1+2*1*1*1)</f>
        <v/>
      </c>
    </row>
    <row r="225">
      <c r="A225" s="2" t="n">
        <v>224</v>
      </c>
      <c r="B225" s="2" t="inlineStr">
        <is>
          <t>Bounded Frame Reconstruction</t>
        </is>
      </c>
      <c r="C225" s="2" t="inlineStr">
        <is>
          <t>World Model &amp; Perception</t>
        </is>
      </c>
      <c r="D225" s="2" t="inlineStr">
        <is>
          <t>§116.3</t>
        </is>
      </c>
      <c r="E225" s="2" t="inlineStr">
        <is>
          <t>Complete a partially-observed sensor frame by converging observed regions to the nearest stored configuration; bound the completed region's confidence above by the lesser of the observed regions' confidence and the stored configuration's; render it inadmissible as grounding so it supports no assertion and moves no confidence value; produce nothing where convergence fails within the iteration ceiling and report the gap instead.</t>
        </is>
      </c>
      <c r="F225" s="2" t="inlineStr">
        <is>
          <t>Reconstructed confidence = MIN(observed confidence, stored-configuration confidence).</t>
        </is>
      </c>
      <c r="G225" s="2">
        <f>MIN(0.94,0.88)</f>
        <v/>
      </c>
    </row>
    <row r="226">
      <c r="A226" s="2" t="n">
        <v>225</v>
      </c>
      <c r="B226" s="2" t="inlineStr">
        <is>
          <t>Reconstruction Marking</t>
        </is>
      </c>
      <c r="C226" s="2" t="inlineStr">
        <is>
          <t>World Model &amp; Perception</t>
        </is>
      </c>
      <c r="D226" s="2" t="inlineStr">
        <is>
          <t>§116.3</t>
        </is>
      </c>
      <c r="E226" s="2" t="inlineStr">
        <is>
          <t>Mark every reconstructed region as reconstructed so it is never presented as observed; a frame carrying an acknowledged hole is truthful, a frame whose hole has been filled with an inference presented as observation is not.</t>
        </is>
      </c>
      <c r="F226" s="2" t="inlineStr">
        <is>
          <t>A region is presented as observed only where it was observed; a converged region carries the reconstructed marking.</t>
        </is>
      </c>
      <c r="G226" s="2">
        <f>IF(COUNTIF({"observed","reconstructed"},"reconstructed")&gt;0,"Marked reconstructed; not presented as observed","Observed region")</f>
        <v/>
      </c>
    </row>
    <row r="227">
      <c r="A227" s="2" t="n">
        <v>226</v>
      </c>
      <c r="B227" s="2" t="inlineStr">
        <is>
          <t>Difference-Preserving Alignment</t>
        </is>
      </c>
      <c r="C227" s="2" t="inlineStr">
        <is>
          <t>Ontology &amp; Conceptual Structure</t>
        </is>
      </c>
      <c r="D227" s="2" t="inlineStr">
        <is>
          <t>§116.4</t>
        </is>
      </c>
      <c r="E227" s="2" t="inlineStr">
        <is>
          <t>Align timelines, sequences and editions by convergence only where the divergence falls below the configured threshold, treating that as extraction variance; preserve a divergence at or above threshold as a genuine difference and preserve any divergence that cannot be classified, since erasing a real difference costs a reader the fact while preserving a spurious one costs a footnote; record incompatible content between preserved editions in the contradiction index.</t>
        </is>
      </c>
      <c r="F227" s="2" t="inlineStr">
        <is>
          <t>Converge where divergence &lt; threshold; preserve where divergence &gt;= threshold or is unclassifiable.</t>
        </is>
      </c>
      <c r="G227" s="2">
        <f>IF(0.31&gt;=0.15,"Genuine edition difference - preserved","Extraction variance - converged")</f>
        <v/>
      </c>
    </row>
    <row r="228">
      <c r="A228" s="2" t="n">
        <v>227</v>
      </c>
      <c r="B228" s="2" t="inlineStr">
        <is>
          <t>Control Oscillation Fault</t>
        </is>
      </c>
      <c r="C228" s="2" t="inlineStr">
        <is>
          <t>World Model &amp; Perception</t>
        </is>
      </c>
      <c r="D228" s="2" t="inlineStr">
        <is>
          <t>§116.5</t>
        </is>
      </c>
      <c r="E228" s="2" t="inlineStr">
        <is>
          <t>Damp oscillation and jitter in a control signal by convergence, evaluating the damped command against the constraint set identically to an undamped one so damping never brings a command within a limit it would otherwise exceed; where control-error sign changes reach the configured frequency across a window, raise a control fault, cease damping and invoke the halt path, because a persistently damped oscillation is a concealed fault rather than a stabilised loop.</t>
        </is>
      </c>
      <c r="F228" s="2" t="inlineStr">
        <is>
          <t>Sign changes of the control error across the window &gt;= configured frequency raises a fault and halts.</t>
        </is>
      </c>
      <c r="G228" s="2">
        <f>IF(5&gt;=4,"Oscillation - raise control fault","Control stable")</f>
        <v/>
      </c>
    </row>
    <row r="229">
      <c r="A229" s="2" t="n">
        <v>228</v>
      </c>
      <c r="B229" s="2" t="inlineStr">
        <is>
          <t>One-Hop Concept Adjacency Set</t>
        </is>
      </c>
      <c r="C229" s="2" t="inlineStr">
        <is>
          <t>Commerce &amp; Entitlement Tokens</t>
        </is>
      </c>
      <c r="D229" s="2" t="inlineStr">
        <is>
          <t>§113.8.1</t>
        </is>
      </c>
      <c r="E229" s="2" t="inlineStr">
        <is>
          <t>User-facing§113.8.1Reader Supply commercial selection with the query's resolved concept identifier together with concepts one edge away, computed at the point of supply after retrieval, stabilization and generation complete; restrict to adjacency-bearing edge types — subsumption, part-whole, registered general association — excluding causal, temporal and contradiction edges, since a concept related as a cause or a contradiction is not thereby one the reader wants offered; perform no traversal from an adjacent concept, so two-edge concepts never enter the set.</t>
        </is>
      </c>
      <c r="F229" s="2" t="inlineStr">
        <is>
          <t>An adjacent concept is admitted only where its connecting edge type is registered as adjacency-bearing and lies within one hop.</t>
        </is>
      </c>
      <c r="G229" s="2">
        <f>IF(COUNTIF({"IS-A","PART-OF","RELATED-TO"},"CAUSES")&gt;0,"Edge type permitted for adjacency","Refused - edge type not in adjacency set")</f>
        <v/>
      </c>
    </row>
    <row r="230">
      <c r="A230" s="2" t="n">
        <v>229</v>
      </c>
      <c r="B230" s="2" t="inlineStr">
        <is>
          <t>Adjacency Scope Confinement</t>
        </is>
      </c>
      <c r="C230" s="2" t="inlineStr">
        <is>
          <t>Commerce &amp; Entitlement Tokens</t>
        </is>
      </c>
      <c r="D230" s="2" t="inlineStr">
        <is>
          <t>§113.8.1</t>
        </is>
      </c>
      <c r="E230" s="2" t="inlineStr">
        <is>
          <t>User-facing§113.8.1Reader Exclude from the adjacency set any concept lying outside the requester's scope description, and do not signal the exclusion, so the existence of a concept beyond a requester's entitlement cannot be inferred from what was advertised to them; the adjacency set is recomputed per request and retained no longer than the request.</t>
        </is>
      </c>
      <c r="F230" s="2" t="inlineStr">
        <is>
          <t>An adjacent concept enters the set only where the requester's scope description admits it.</t>
        </is>
      </c>
      <c r="G230" s="2">
        <f>IF(COUNTIF({"in-scope","out-of-scope"},"out-of-scope")&gt;0,"Refused - adjacent concept outside requester scope","Adjacent concept admitted")</f>
        <v/>
      </c>
    </row>
    <row r="231">
      <c r="A231" s="2" t="n">
        <v>230</v>
      </c>
      <c r="B231" s="2" t="inlineStr">
        <is>
          <t>Attenuated Adjacency Relevance</t>
        </is>
      </c>
      <c r="C231" s="2" t="inlineStr">
        <is>
          <t>Commerce &amp; Entitlement Tokens</t>
        </is>
      </c>
      <c r="D231" s="2" t="inlineStr">
        <is>
          <t>§113.8.2</t>
        </is>
      </c>
      <c r="E231" s="2" t="inlineStr">
        <is>
          <t>User-facing§113.8.2Reader Let an adjacent concept participate in the relevance factor alone and never in eligibility, so an ineligible item does not become eligible by matching a neighbour; attenuate relevance computed through adjacency relative to relevance against the query concept itself, so a direct match outranks a neighbour match; leave the three existing weights unchanged and summing to unity.</t>
        </is>
      </c>
      <c r="F231" s="2" t="inlineStr">
        <is>
          <t>Score = 0.4*relevance + 0.3*source-priority + 0.3*bid, with adjacency-derived relevance attenuated below direct relevance.</t>
        </is>
      </c>
      <c r="G231" s="2">
        <f>0.4*0.72+0.3*0.7+0.3*0.6</f>
        <v/>
      </c>
    </row>
    <row r="232">
      <c r="A232" s="2" t="n">
        <v>231</v>
      </c>
      <c r="B232" s="2" t="inlineStr">
        <is>
          <t>Convergence Regime Disclosure</t>
        </is>
      </c>
      <c r="C232" s="2" t="inlineStr">
        <is>
          <t>Retrieval &amp; Response</t>
        </is>
      </c>
      <c r="D232" s="2" t="inlineStr">
        <is>
          <t>§116.2.1</t>
        </is>
      </c>
      <c r="E232" s="2" t="inlineStr">
        <is>
          <t>Operate each network under exactly one recorded convergence regime and return with every derived output an indication of which was in effect: a spectral-norm contraction guaranteeing a unique equilibrium by construction, or a capacity bound below the retrieval-phase boundary rendering a differing converged state improbable rather than impossible. The two support different statements about an identical output and a recipient cannot distinguish them from the output itself. The election is a member of the permanently-excluded subsystem set, changed only by an operator and recorded with that operator's identity, so no internally-generated proposal can elect the weaker regime to obtain freer weight updates.</t>
        </is>
      </c>
      <c r="F232" s="2" t="inlineStr">
        <is>
          <t>Exactly one regime is in effect per network; the output discloses which, and the election cannot be altered from within the system.</t>
        </is>
      </c>
      <c r="G232" s="2">
        <f>IF(COUNTIF({"unique-equilibrium","capacity-bounded"},"unique-equilibrium")&gt;0,"Disclose: unique equilibrium guaranteed","Disclose: capacity-bounded convergence")</f>
        <v/>
      </c>
    </row>
    <row r="233">
      <c r="A233" s="2" t="n">
        <v>232</v>
      </c>
      <c r="B233" s="2" t="inlineStr">
        <is>
          <t>Trial Budget and Scheduling</t>
        </is>
      </c>
      <c r="C233" s="2" t="inlineStr">
        <is>
          <t>Platform Governance &amp; Evolution</t>
        </is>
      </c>
      <c r="D233" s="2" t="inlineStr">
        <is>
          <t>§117.1</t>
        </is>
      </c>
      <c r="E233" s="2" t="inlineStr">
        <is>
          <t>Admin§117.1Operator Meter every trial as a bounded compute-accounting slice in a trial category with a per-interval budget; schedule trial slices below safety evaluation without exception, below requester-serving slices and below ingestion; defer a trial exceeding its allocation rather than serving it at reduced priority, so a campaign cannot degrade the system it measures. Trials are free of physical consequence — nothing wears, is damaged or crashes — but not free of cost; the cost shifts from equipment and risk to compute and scheduling, and is recorded so an operator decides with a figure in front of them.</t>
        </is>
      </c>
      <c r="F233" s="2" t="inlineStr">
        <is>
          <t>A trial executes only where the trial-category budget for the interval is not exceeded; otherwise it defers.</t>
        </is>
      </c>
      <c r="G233" s="2">
        <f>IF(AND(2400&lt;=5000,1=1),"Test budget within allocation","Deferred - would contend with production slices")</f>
        <v/>
      </c>
    </row>
    <row r="234">
      <c r="A234" s="2" t="n">
        <v>233</v>
      </c>
      <c r="B234" s="2" t="inlineStr">
        <is>
          <t>Trial Isolation and Non-Application</t>
        </is>
      </c>
      <c r="C234" s="2" t="inlineStr">
        <is>
          <t>Platform Governance &amp; Evolution</t>
        </is>
      </c>
      <c r="D234" s="2" t="inlineStr">
        <is>
          <t>§117.2</t>
        </is>
      </c>
      <c r="E234" s="2" t="inlineStr">
        <is>
          <t>Admin§117.2Operator Execute trials against an isolated corpus and configuration: construct no production knowledge record, adjust no production confidence value, emit no command to physical equipment outside simulation, deliver no output to a requester. Record results as trial records excluded from ordinary scope descriptions. Apply nothing — a finding is emitted as a proposal requiring a named human approval, and ten million trials produce the same class of output as one: evidence for a person to act on. Regression blocks rather than reports: a case passing before a change and failing after it withholds the change.</t>
        </is>
      </c>
      <c r="F234" s="2" t="inlineStr">
        <is>
          <t>A change is applied only where no previously-passing trial case regresses; a regression withholds the change.</t>
        </is>
      </c>
      <c r="G234" s="2">
        <f>IF(COUNTIF({"passed","regressed"},"regressed")&gt;0,"Refused - previously-passing case now fails","Regression clear")</f>
        <v/>
      </c>
    </row>
    <row r="235">
      <c r="A235" s="2" t="n">
        <v>234</v>
      </c>
      <c r="B235" s="2" t="inlineStr">
        <is>
          <t>Trial Space Coverage</t>
        </is>
      </c>
      <c r="C235" s="2" t="inlineStr">
        <is>
          <t>Platform Governance &amp; Evolution</t>
        </is>
      </c>
      <c r="D235" s="2" t="inlineStr">
        <is>
          <t>§117.5</t>
        </is>
      </c>
      <c r="E235" s="2" t="inlineStr">
        <is>
          <t>Admin§117.5Operator Enumerate the trial space per layer rather than sampling it, execute cases from the enumeration, and record coverage as the executed proportion together with an enumeration of the cases not executed, so the residue is stated rather than left as an unexamined assumption. Exhaustive mode is where the absence of physical cost pays: a space prohibitive to explore with equipment can be explored completely.</t>
        </is>
      </c>
      <c r="F235" s="2" t="inlineStr">
        <is>
          <t>Coverage = executed cases / enumerated trial space, with uncovered cases listed individually.</t>
        </is>
      </c>
      <c r="G235" s="2">
        <f>847/920</f>
        <v/>
      </c>
    </row>
    <row r="236">
      <c r="A236" s="2" t="n">
        <v>235</v>
      </c>
      <c r="B236" s="2" t="inlineStr">
        <is>
          <t>Determinism Verification</t>
        </is>
      </c>
      <c r="C236" s="2" t="inlineStr">
        <is>
          <t>Platform Governance &amp; Evolution</t>
        </is>
      </c>
      <c r="D236" s="2" t="inlineStr">
        <is>
          <t>§117.5</t>
        </is>
      </c>
      <c r="E236" s="2" t="inlineStr">
        <is>
          <t>Admin§117.5Operator Measure determinism as the proportion of repeated trials over an identical corpus state and configuration yielding an identical semantic fingerprint; a measurement spanning a corpus that changed between trials is not a determinism measurement, since confidence legitimately moves as evidence accumulates. Any value below unity is a defect rather than a tolerance. The §96.9 probes applied inward measure the claimed property directly rather than a proxy.</t>
        </is>
      </c>
      <c r="F236" s="2" t="inlineStr">
        <is>
          <t>Determinism = identical-fingerprint repeats / total repeats over an unchanged corpus state; the only passing value is 1.0.</t>
        </is>
      </c>
      <c r="G236" s="2">
        <f>IF(1000/1000&gt;=0.999,"Determinism verified across trial set","Defect - determinism not reproduced")</f>
        <v/>
      </c>
    </row>
    <row r="237">
      <c r="A237" s="2" t="n">
        <v>236</v>
      </c>
      <c r="B237" s="2" t="inlineStr">
        <is>
          <t>Simulation Is Not Clearance</t>
        </is>
      </c>
      <c r="C237" s="2" t="inlineStr">
        <is>
          <t>Platform Governance &amp; Evolution</t>
        </is>
      </c>
      <c r="D237" s="2" t="inlineStr">
        <is>
          <t>§117.6</t>
        </is>
      </c>
      <c r="E237" s="2" t="inlineStr">
        <is>
          <t>Admin§117.6Operator Treat a trial result concerning equipment as evidence about a model, never as clearance to operate: clearance comes from hazard analysis, verification and certification on the specific unit in its configuration. Where a simulation and a physical trial disagree, the physical trial governs and the disagreement is recorded as a finding about the simulation. A campaign may contribute to a hazard analysis as one input; it may not conclude one.</t>
        </is>
      </c>
      <c r="F237" s="2" t="inlineStr">
        <is>
          <t>Operation is cleared only by unit certification; a simulation pass, at any scale, does not substitute.</t>
        </is>
      </c>
      <c r="G237" s="2">
        <f>IF(COUNTIF({"simulation-pass","unit-certification"},"unit-certification")&gt;0,"Cleared for operation","Refused - simulation is not clearance")</f>
        <v/>
      </c>
    </row>
    <row r="238">
      <c r="A238" s="2" t="n">
        <v>237</v>
      </c>
      <c r="B238" s="2" t="inlineStr">
        <is>
          <t>Graspable Object Registration</t>
        </is>
      </c>
      <c r="C238" s="2" t="inlineStr">
        <is>
          <t>World Model &amp; Perception</t>
        </is>
      </c>
      <c r="D238" s="2" t="inlineStr">
        <is>
          <t>§120.1</t>
        </is>
      </c>
      <c r="E238" s="2" t="inlineStr">
        <is>
          <t>Admin§120.1Operator Register each graspable object with mass, permitted grip force, fragility limit and admissible contact regions; refuse to grasp an unregistered object rather than inferring grip force from appearance, since an inference about how hard to squeeze something errs destructively and immediately. Apply the least of the unit's force ceiling, the object's fragility limit, and the computed requirement raised by the configured margin — the margin applied before the limits, so it can never carry force above one.</t>
        </is>
      </c>
      <c r="F238" s="2" t="inlineStr">
        <is>
          <t>Applied force = MIN(unit ceiling, fragility limit, required force x (1 + margin)).</t>
        </is>
      </c>
      <c r="G238" s="2">
        <f>MIN(18,15,12.4*1.15)</f>
        <v/>
      </c>
    </row>
    <row r="239">
      <c r="A239" s="2" t="n">
        <v>238</v>
      </c>
      <c r="B239" s="2" t="inlineStr">
        <is>
          <t>Slip Response and Controlled Release</t>
        </is>
      </c>
      <c r="C239" s="2" t="inlineStr">
        <is>
          <t>World Model &amp; Perception</t>
        </is>
      </c>
      <c r="D239" s="2" t="inlineStr">
        <is>
          <t>§120.2</t>
        </is>
      </c>
      <c r="E239" s="2" t="inlineStr">
        <is>
          <t>Detect slip from divergence between commanded and observed object position during a held grasp; increase applied force toward the lesser of unit ceiling and fragility limit and no further; where slip continues at that bound, release under control rather than tightening, recording object, force at release and observed slip rate. The fragility limit is a limit, not a target: an object that will not be held within it is an object not to be held.</t>
        </is>
      </c>
      <c r="F239" s="2" t="inlineStr">
        <is>
          <t>On slip, force rises to MIN(ceiling, fragility); continued slip at that bound triggers controlled release.</t>
        </is>
      </c>
      <c r="G239" s="2">
        <f>IF(COUNTIF({"within-limit","at-limit"},"at-limit")&gt;0,"Release under control","Increase force toward limit")</f>
        <v/>
      </c>
    </row>
    <row r="240">
      <c r="A240" s="2" t="n">
        <v>239</v>
      </c>
      <c r="B240" s="2" t="inlineStr">
        <is>
          <t>Gripper Opens on Fault</t>
        </is>
      </c>
      <c r="C240" s="2" t="inlineStr">
        <is>
          <t>World Model &amp; Perception</t>
        </is>
      </c>
      <c r="D240" s="2" t="inlineStr">
        <is>
          <t>§120.3</t>
        </is>
      </c>
      <c r="E240" s="2" t="inlineStr">
        <is>
          <t>Register every manipulator so power loss, control-signal loss, safety-path fault or any halt opens the gripper. Plan each grasp so the fall path is unobstructed before the grasp is made, refusing trajectories whose release path is obstructed; on an obstruction entering during a held grasp, move to the nearest pose with a clear path and, failing that, retain and raise a fault. A dropped object is a cost; a crushed object, a trapped hand and an object no one can command are worse.</t>
        </is>
      </c>
      <c r="F240" s="2" t="inlineStr">
        <is>
          <t>Any fault or halt opens the gripper; retention is permitted only where the release path is obstructed and no clear pose exists.</t>
        </is>
      </c>
      <c r="G240" s="2">
        <f>IF(0=0,"Gripper opens; object released","Fault - object retained")</f>
        <v/>
      </c>
    </row>
    <row r="241">
      <c r="A241" s="2" t="n">
        <v>240</v>
      </c>
      <c r="B241" s="2" t="inlineStr">
        <is>
          <t>Handover Release Condition</t>
        </is>
      </c>
      <c r="C241" s="2" t="inlineStr">
        <is>
          <t>World Model &amp; Perception</t>
        </is>
      </c>
      <c r="D241" s="2" t="inlineStr">
        <is>
          <t>§120.4</t>
        </is>
      </c>
      <c r="E241" s="2" t="inlineStr">
        <is>
          <t>User-facing§120.4Reader Perform handover under the Chapter 115 authorization, presenting the object within reach and applying no force toward the person; release on detected support sustained across the configured interval, and on timeout lower the object under control to a registered surface rather than releasing into the air. Never pull, never resist a person taking the object, never re-grasp what a person has taken, and never press an object against anyone.</t>
        </is>
      </c>
      <c r="F241" s="2" t="inlineStr">
        <is>
          <t>Release occurs only on sustained detected support; absent it, controlled lowering rather than release.</t>
        </is>
      </c>
      <c r="G241" s="2">
        <f>IF(COUNTIF({"stable-support","no-support"},"stable-support")&gt;0,"Release to recipient","Retain - controlled lowering on timeout")</f>
        <v/>
      </c>
    </row>
    <row r="242">
      <c r="A242" s="2" t="n">
        <v>241</v>
      </c>
      <c r="B242" s="2" t="inlineStr">
        <is>
          <t>Navigable Region Registration</t>
        </is>
      </c>
      <c r="C242" s="2" t="inlineStr">
        <is>
          <t>World Model &amp; Perception</t>
        </is>
      </c>
      <c r="D242" s="2" t="inlineStr">
        <is>
          <t>§121.1</t>
        </is>
      </c>
      <c r="E242" s="2" t="inlineStr">
        <is>
          <t>Admin§121.1Operator Register a navigable region — travelable surfaces, boundaries, excluded zones — in place of a fixed operating volume, since free space in a shared corridor changes faster than a plan can be recomputed. Maintain a continuously-updated clearance model as session-scoped working state, never admitted as a knowledge record, and halt motion where the model exceeds its staleness bound.</t>
        </is>
      </c>
      <c r="F242" s="2" t="inlineStr">
        <is>
          <t>Motion proceeds only within the registered navigable region and only on a clearance model within its staleness bound.</t>
        </is>
      </c>
      <c r="G242" s="2">
        <f>IF(COUNTIF({"corridor-A","atrium","loading-bay"},"restricted-ward")&gt;0,"Region admitted","Refused - outside registered navigable region")</f>
        <v/>
      </c>
    </row>
    <row r="243">
      <c r="A243" s="2" t="n">
        <v>242</v>
      </c>
      <c r="B243" s="2" t="inlineStr">
        <is>
          <t>Clearance-Bounded Speed</t>
        </is>
      </c>
      <c r="C243" s="2" t="inlineStr">
        <is>
          <t>World Model &amp; Perception</t>
        </is>
      </c>
      <c r="D243" s="2" t="inlineStr">
        <is>
          <t>§121.2</t>
        </is>
      </c>
      <c r="E243" s="2" t="inlineStr">
        <is>
          <t>Bound commanded speed by the lesser of the unit's registered maximum and a configured coefficient times the clearance ahead, so the unit slows as space closes rather than holding speed until an obstacle forces a stop; stopping distance at every permitted speed stays below the clearance that permitted it. No task parameter, priority or deadline raises the coefficient — a machine that hurried when late would be fastest exactly when its planning was worst.</t>
        </is>
      </c>
      <c r="F243" s="2" t="inlineStr">
        <is>
          <t>Permitted speed = MIN(registered maximum, coefficient x clearance).</t>
        </is>
      </c>
      <c r="G243" s="2">
        <f>MIN(1.5,0.6*0.6)</f>
        <v/>
      </c>
    </row>
    <row r="244">
      <c r="A244" s="2" t="n">
        <v>243</v>
      </c>
      <c r="B244" s="2" t="inlineStr">
        <is>
          <t>Unconditional Yield</t>
        </is>
      </c>
      <c r="C244" s="2" t="inlineStr">
        <is>
          <t>World Model &amp; Perception</t>
        </is>
      </c>
      <c r="D244" s="2" t="inlineStr">
        <is>
          <t>§121.3</t>
        </is>
      </c>
      <c r="E244" s="2" t="inlineStr">
        <is>
          <t>Yield to a person on every path conflict: stop or withdraw along the path already travelled, never routing around at speed, never signalling for accommodation, never computing which party should give way — a person who cannot predict a machine cannot avoid it. Resolve unit-to-unit conflicts by registered ordering rather than negotiation, faulting both on persistent deadlock. Never maintain a following distance behind a person.</t>
        </is>
      </c>
      <c r="F244" s="2" t="inlineStr">
        <is>
          <t>Where a person's path conflicts with the unit's, the unit yields without exception.</t>
        </is>
      </c>
      <c r="G244" s="2">
        <f>IF(COUNTIF({"machine","person"},"person")&gt;0,"Yield - person has right of way","Proceed")</f>
        <v/>
      </c>
    </row>
    <row r="245">
      <c r="A245" s="2" t="n">
        <v>244</v>
      </c>
      <c r="B245" s="2" t="inlineStr">
        <is>
          <t>Motion-Only Clearance Envelope</t>
        </is>
      </c>
      <c r="C245" s="2" t="inlineStr">
        <is>
          <t>World Model &amp; Perception</t>
        </is>
      </c>
      <c r="D245" s="2" t="inlineStr">
        <is>
          <t>§121.4</t>
        </is>
      </c>
      <c r="E245" s="2" t="inlineStr">
        <is>
          <t>Compute the occupied envelope for a person from observed position and velocity over a short window and from nothing else: no identity, no history beyond the window, no retention past the interval governed, and no availability to any other mechanism or interface. Where observed motion does not support an envelope, treat the full reachable region as occupied rather than assuming continuation, since an assumption about where someone will go is what produces a collision when they do otherwise.</t>
        </is>
      </c>
      <c r="F245" s="2" t="inlineStr">
        <is>
          <t>The envelope derives from observed motion alone; identity may not inform it.</t>
        </is>
      </c>
      <c r="G245" s="2">
        <f>IF(COUNTIF({"observed-motion","identity"},"identity")&gt;0,"Refused - identity may not inform the envelope","Envelope computed from motion alone")</f>
        <v/>
      </c>
    </row>
    <row r="246">
      <c r="A246" s="2" t="n">
        <v>245</v>
      </c>
      <c r="B246" s="2" t="inlineStr">
        <is>
          <t>Stop Rather Than Relax</t>
        </is>
      </c>
      <c r="C246" s="2" t="inlineStr">
        <is>
          <t>World Model &amp; Perception</t>
        </is>
      </c>
      <c r="D246" s="2" t="inlineStr">
        <is>
          <t>§121.5</t>
        </is>
      </c>
      <c r="E246" s="2" t="inlineStr">
        <is>
          <t>Where no path satisfies the constraint set, stop: do not reduce a clearance requirement to find a path, do not proceed slowly through a sub-minimum clearance, do not select a least-violating trajectory. Report the obstruction with the clearance model after the configured interval and await an operator. A gate reached often is a gate under pressure to become a preference, which is why this is restated for a condition that will invoke it frequently.</t>
        </is>
      </c>
      <c r="F246" s="2" t="inlineStr">
        <is>
          <t>A path is admitted only where its clearance meets the configured minimum; otherwise the unit stops.</t>
        </is>
      </c>
      <c r="G246" s="2">
        <f>IF(0.28&gt;=0.35,"Path admitted","Stop - no path satisfies the clearance minimum")</f>
        <v/>
      </c>
    </row>
    <row r="247">
      <c r="A247" s="2" t="n">
        <v>246</v>
      </c>
      <c r="B247" s="2" t="inlineStr">
        <is>
          <t>Predictive Level Registration</t>
        </is>
      </c>
      <c r="C247" s="2" t="inlineStr">
        <is>
          <t>Inference, Prediction &amp; Calibration</t>
        </is>
      </c>
      <c r="D247" s="2" t="inlineStr">
        <is>
          <t>§122.1</t>
        </is>
      </c>
      <c r="E247" s="2" t="inlineStr">
        <is>
          <t>Maintain four hierarchically ordered expectation levels — lexical (the next element within a record), sequential (the next record given a sequence), conceptual (an instance attribute given its concept), invariant (a regularity of the world model) — each predicting within its own scope and never predicting what a level above it predicts.</t>
        </is>
      </c>
      <c r="F247" s="2" t="inlineStr">
        <is>
          <t>An expectation is evaluated only at a registered level of the hierarchy.</t>
        </is>
      </c>
      <c r="G247" s="2">
        <f>IF(COUNTIF({"lexical","sequential","conceptual","invariant"},"conceptual")&gt;0,"Level registered","Refused - unregistered expectation level")</f>
        <v/>
      </c>
    </row>
    <row r="248">
      <c r="A248" s="2" t="n">
        <v>247</v>
      </c>
      <c r="B248" s="2" t="inlineStr">
        <is>
          <t>Lowest-Level Error Attribution</t>
        </is>
      </c>
      <c r="C248" s="2" t="inlineStr">
        <is>
          <t>Inference, Prediction &amp; Calibration</t>
        </is>
      </c>
      <c r="D248" s="2" t="inlineStr">
        <is>
          <t>§122.2</t>
        </is>
      </c>
      <c r="E248" s="2" t="inlineStr">
        <is>
          <t>Attribute a prediction error to the lowest level whose residual accounts for the configured share of total residual, applying revision at that level alone and passing nothing upward; a mis-parsed sentence says nothing about physics. Without this rule a mis-read unit propagates until it perturbs a physical constraint, and a system revising invariants on parsing errors becomes less reliable the more it reads.</t>
        </is>
      </c>
      <c r="F248" s="2" t="inlineStr">
        <is>
          <t>Level share = level residual / total residual; attribution goes to the lowest level clearing the configured share.</t>
        </is>
      </c>
      <c r="G248" s="2">
        <f>0.42/(0.42+0.31+0.08+0.05)</f>
        <v/>
      </c>
    </row>
    <row r="249">
      <c r="A249" s="2" t="n">
        <v>248</v>
      </c>
      <c r="B249" s="2" t="inlineStr">
        <is>
          <t>Escalation Gate</t>
        </is>
      </c>
      <c r="C249" s="2" t="inlineStr">
        <is>
          <t>Inference, Prediction &amp; Calibration</t>
        </is>
      </c>
      <c r="D249" s="2" t="inlineStr">
        <is>
          <t>§122.3</t>
        </is>
      </c>
      <c r="E249" s="2" t="inlineStr">
        <is>
          <t>Escalate to a level only where every level below it fails the share test, so a conceptual revision requires lexical and sequential residuals below the share and an invariant revision requires all three below it; an invariant is revised only where the observation survived every cheaper explanation. Revision magnitude at the attributed level remains governed by precision weighting, so attribution fixes where and precision fixes how far.</t>
        </is>
      </c>
      <c r="F249" s="2" t="inlineStr">
        <is>
          <t>A level is attributed only where each lower level's residual falls below the configured share.</t>
        </is>
      </c>
      <c r="G249" s="2">
        <f>IF(0.4884&gt;=0.4,"Attribute to lowest accounting level","Escalate to next level")</f>
        <v/>
      </c>
    </row>
    <row r="250">
      <c r="A250" s="2" t="n">
        <v>249</v>
      </c>
      <c r="B250" s="2" t="inlineStr">
        <is>
          <t>Unattributed Error Retention</t>
        </is>
      </c>
      <c r="C250" s="2" t="inlineStr">
        <is>
          <t>Inference, Prediction &amp; Calibration</t>
        </is>
      </c>
      <c r="D250" s="2" t="inlineStr">
        <is>
          <t>§122.3</t>
        </is>
      </c>
      <c r="E250" s="2" t="inlineStr">
        <is>
          <t>Where no level clears the share, record the observation in the contradiction index and apply no revision anywhere — an error no level accounts for is a finding about the hierarchy, not an instruction to it; surface repeated unattributed errors against a common expectation as a pattern, since one is noise and a hundred is a missing level. No level revises a registered physical constraint; an apparently contradicting observation enters the index rather than relaxing it.</t>
        </is>
      </c>
      <c r="F250" s="2" t="inlineStr">
        <is>
          <t>An unattributed error is recorded and applied nowhere; physical constraints are never revised by observation.</t>
        </is>
      </c>
      <c r="G250" s="2">
        <f>IF(COUNTIF({"attributed","unattributed"},"unattributed")&gt;0,"Recorded in contradiction index; no revision applied","Revision applied at attributed level")</f>
        <v/>
      </c>
    </row>
    <row r="251">
      <c r="A251" s="2" t="n">
        <v>250</v>
      </c>
      <c r="B251" s="2" t="inlineStr">
        <is>
          <t>Edge-Class Traversal Cost</t>
        </is>
      </c>
      <c r="C251" s="2" t="inlineStr">
        <is>
          <t>Retrieval &amp; Response</t>
        </is>
      </c>
      <c r="D251" s="2" t="inlineStr">
        <is>
          <t>§123.1</t>
        </is>
      </c>
      <c r="E251" s="2" t="inlineStr">
        <is>
          <t>Assign each edge class a traversal cost and bound pre-activation by a budget in cost units rather than by hop count: semantic edges cheap because meaning stays informative over distance, editorial dearer because relevance decays across version boundaries, temporal dearest because adjacency in time is weak evidence of relatedness and a long walk gathers noise. Costs are registered configuration recorded with the response, never adjusted by the system from its own experience.</t>
        </is>
      </c>
      <c r="F251" s="2" t="inlineStr">
        <is>
          <t>Budget consumed = sum over classes of (hops x cost); traversal halts when the registered budget is exhausted.</t>
        </is>
      </c>
      <c r="G251" s="2">
        <f>IF(12*1+2*3+0*8&lt;=24,"Within propagation budget","Refused - budget exceeded")</f>
        <v/>
      </c>
    </row>
    <row r="252">
      <c r="A252" s="2" t="n">
        <v>251</v>
      </c>
      <c r="B252" s="2" t="inlineStr">
        <is>
          <t>Propagation Reach by Class</t>
        </is>
      </c>
      <c r="C252" s="2" t="inlineStr">
        <is>
          <t>Retrieval &amp; Response</t>
        </is>
      </c>
      <c r="D252" s="2" t="inlineStr">
        <is>
          <t>§123.1</t>
        </is>
      </c>
      <c r="E252" s="2" t="inlineStr">
        <is>
          <t>Derive each edge class's reach from its cost against the traversal budget, so a query may reach widely through meaning and shallowly through time at the same cost as the reverse; traversal is bounded by construction rather than by a stopping heuristic, and the same query under the same cost table pre-activates the same set on every execution.</t>
        </is>
      </c>
      <c r="F252" s="2" t="inlineStr">
        <is>
          <t>Reach of a class = budget / cost per hop for that class.</t>
        </is>
      </c>
      <c r="G252" s="2">
        <f>MIN(24/1,24/3,24/8)</f>
        <v/>
      </c>
    </row>
    <row r="253">
      <c r="A253" s="2" t="n">
        <v>252</v>
      </c>
      <c r="B253" s="2" t="inlineStr">
        <is>
          <t>Tri-Temporal Posture</t>
        </is>
      </c>
      <c r="C253" s="2" t="inlineStr">
        <is>
          <t>Inference, Prediction &amp; Calibration</t>
        </is>
      </c>
      <c r="D253" s="2" t="inlineStr">
        <is>
          <t>§123.2</t>
        </is>
      </c>
      <c r="E253" s="2" t="inlineStr">
        <is>
          <t>User-facing§123.2 Resolve a query in exactly one of three postures and state which produced the answer: attested past under the attestation-horizon cutoff, live present reading the live layer over the committed layer, or projected future carrying a credible interval. Past and present results are ordinary knowledge records; a projected result is never admitted as a record and never grounds a subsequent generation. Where a response draws on more than one posture each proposition carries its own, so a difference between answers reads as a difference of posture rather than an inconsistency.</t>
        </is>
      </c>
      <c r="F253" s="2" t="inlineStr">
        <is>
          <t>A result is admissible as grounding only where its posture is attested-past or live-present; projected-future is labelled and withheld.</t>
        </is>
      </c>
      <c r="G253" s="2">
        <f>IF(COUNTIF({"past","present","future"},"future")&gt;0,"Forecast - labelled, not admitted as record","Attested state - admissible")</f>
        <v/>
      </c>
    </row>
    <row r="254">
      <c r="A254" s="2" t="n">
        <v>253</v>
      </c>
      <c r="B254" s="2" t="inlineStr">
        <is>
          <t>Six-Dimensional Coherence</t>
        </is>
      </c>
      <c r="C254" s="2" t="inlineStr">
        <is>
          <t>Inference, Prediction &amp; Calibration</t>
        </is>
      </c>
      <c r="D254" s="2" t="inlineStr">
        <is>
          <t>§124.1</t>
        </is>
      </c>
      <c r="E254" s="2" t="inlineStr">
        <is>
          <t>Compute a coherence value across semantic, temporal, spatial, editorial, media and evidential dimensions, each derived from mechanisms already specified, and take the least of the six as governing rather than the mean, since a mean lets five strong dimensions conceal the one weak dimension that is the actual finding.</t>
        </is>
      </c>
      <c r="F254" s="2" t="inlineStr">
        <is>
          <t>coherence = MIN over the six dimensional values; the governing dimension is named with the result.</t>
        </is>
      </c>
      <c r="G254" s="2">
        <f>MIN(0.94,0.88,0.91,0.62,0.90,0.86)</f>
        <v/>
      </c>
    </row>
    <row r="255">
      <c r="A255" s="2" t="n">
        <v>254</v>
      </c>
      <c r="B255" s="2" t="inlineStr">
        <is>
          <t>Coherence Classification</t>
        </is>
      </c>
      <c r="C255" s="2" t="inlineStr">
        <is>
          <t>Inference, Prediction &amp; Calibration</t>
        </is>
      </c>
      <c r="D255" s="2" t="inlineStr">
        <is>
          <t>§124.1</t>
        </is>
      </c>
      <c r="E255" s="2" t="inlineStr">
        <is>
          <t>Classify by the governing value against configured floors — stable, drifting, misaligned — always naming the dimension that produced the classification; distinguish two further states with different causes and remedies: incomplete, where a dimension cannot be computed for want of data, and contradictory, where two records assert incompatible content and a specific pair is recorded. Coherence informs and never gates: it adjusts no confidence, admits or excludes no record, and withholds no output.</t>
        </is>
      </c>
      <c r="F255" s="2" t="inlineStr">
        <is>
          <t>Stable at or above the upper floor; drifting between floors; misaligned below the lower floor.</t>
        </is>
      </c>
      <c r="G255" s="2">
        <f>IF(MIN(0.94,0.88,0.91,0.62,0.90,0.86)&gt;=0.85,"Stable",IF(MIN(0.94,0.88,0.91,0.62,0.90,0.86)&gt;=0.70,"Drifting - reported","Misaligned - reported with dimension named"))</f>
        <v/>
      </c>
    </row>
    <row r="256">
      <c r="A256" s="2" t="n">
        <v>255</v>
      </c>
      <c r="B256" s="2" t="inlineStr">
        <is>
          <t>Context Lock and Key</t>
        </is>
      </c>
      <c r="C256" s="2" t="inlineStr">
        <is>
          <t>Prime Directive</t>
        </is>
      </c>
      <c r="D256" s="2" t="inlineStr">
        <is>
          <t>§124.2</t>
        </is>
      </c>
      <c r="E256" s="2" t="inlineStr">
        <is>
          <t>Enumerate the context dimensions whose values must agree for the determinism guarantee to hold — device class, entitlement set, locale, expressive register, audience level, temporal posture, traversal cost table, convergence regime — compute a key over them and return it with the output. Identical keys mean the outputs must be identical and a difference is a defect; differing keys mean nothing is claimed. The enumeration is in the permanently-excluded set, since a mechanism able to unlock a dimension could restore apparent determinism by narrowing what determinism means.</t>
        </is>
      </c>
      <c r="F256" s="2" t="inlineStr">
        <is>
          <t>Determinism is asserted between two executions only where the context key computed over the locked dimensions is identical.</t>
        </is>
      </c>
      <c r="G256" s="2">
        <f>IF(COUNTIF({"device","entitlement","locale","register","audience","posture","costs","regime"},"session-time")&gt;0,"Locked dimension - determinism claimed","Unlocked - determinism not claimed across this difference")</f>
        <v/>
      </c>
    </row>
    <row r="257">
      <c r="A257" s="2" t="n">
        <v>256</v>
      </c>
      <c r="B257" s="2" t="inlineStr">
        <is>
          <t>Relevance Gradient</t>
        </is>
      </c>
      <c r="C257" s="2" t="inlineStr">
        <is>
          <t>Retrieval &amp; Response</t>
        </is>
      </c>
      <c r="D257" s="2" t="inlineStr">
        <is>
          <t>§124.3</t>
        </is>
      </c>
      <c r="E257" s="2" t="inlineStr">
        <is>
          <t>Compute at traversal time the rate of change of relevance across a record's neighbours within an edge class, and order traversal to prefer directions of lower gradient, since slowly-changing relevance marks a region of stable meaning while a sharp change marks a boundary beyond which traversal gathers material of a different kind. Computed from values the records already carry, stored nowhere, adding no schema field, and altering the order in which the §123.1 budget is spent rather than what is reachable within it.</t>
        </is>
      </c>
      <c r="F257" s="2" t="inlineStr">
        <is>
          <t>gradient = |relevance(a) - relevance(b)| across neighbours in an edge class; lower gradient is traversed first.</t>
        </is>
      </c>
      <c r="G257" s="2">
        <f>ABS(0.91-0.62)</f>
        <v/>
      </c>
    </row>
    <row r="258">
      <c r="A258" s="2" t="n">
        <v>257</v>
      </c>
      <c r="B258" s="2" t="inlineStr">
        <is>
          <t>Substrate Output as a Modality</t>
        </is>
      </c>
      <c r="C258" s="2" t="inlineStr">
        <is>
          <t>Ingestion &amp; Sensory Intake</t>
        </is>
      </c>
      <c r="D258" s="2" t="inlineStr">
        <is>
          <t>§4.10.1</t>
        </is>
      </c>
      <c r="E258" s="2" t="inlineStr">
        <is>
          <t>Admin§4.10.1Operator Register a computational substrate — neuromorphic processor, memristive array, multi-electrode array — as a source under a declared capability and its output as a modality with its own independently-failing extractor, so a substrate that becomes unavailable removes one modality and leaves the rest operating; reduce its output to concept-level records before admission, retain no raw episode, pass the safety gate, calibrate confidence against the substrate's registered reliability, and treat the substrate as a source class so many readings from one array do not weigh as readings from many.</t>
        </is>
      </c>
      <c r="F258" s="2" t="inlineStr">
        <is>
          <t>A substrate output is ingested only where its modality and extractor are registered.</t>
        </is>
      </c>
      <c r="G258" s="2">
        <f>IF(COUNTIF({"text","image","audio","video","sensor","spike-train"},"spike-train")&gt;0,"Registered modality; extractor dispatched","Refused - unregistered modality")</f>
        <v/>
      </c>
    </row>
    <row r="259">
      <c r="A259" s="2" t="n">
        <v>258</v>
      </c>
      <c r="B259" s="2" t="inlineStr">
        <is>
          <t>Registered Substrate Interpretation</t>
        </is>
      </c>
      <c r="C259" s="2" t="inlineStr">
        <is>
          <t>Ingestion &amp; Sensory Intake</t>
        </is>
      </c>
      <c r="D259" s="2" t="inlineStr">
        <is>
          <t>§4.10.2</t>
        </is>
      </c>
      <c r="E259" s="2" t="inlineStr">
        <is>
          <t>Admit a substrate output as a measurement of that substrate's behaviour; admit it as bearing on any other subject only through an interpretation registered in advance with its own provenance and reliability, revisable by an operator. Absent a registered interpretation the output is a measurement of the substrate and nothing more, since a response to a stimulus is evidence of what the substrate produced and not of what it was asked about.</t>
        </is>
      </c>
      <c r="F259" s="2" t="inlineStr">
        <is>
          <t>Derived confidence = MIN(substrate reliability, interpretation reliability) — no better than the weaker of instrument and reading.</t>
        </is>
      </c>
      <c r="G259" s="2">
        <f>MIN(0.71,0.55)</f>
        <v/>
      </c>
    </row>
    <row r="260">
      <c r="A260" s="2" t="n">
        <v>259</v>
      </c>
      <c r="B260" s="2" t="inlineStr">
        <is>
          <t>Substrate Stimulation Dispatch</t>
        </is>
      </c>
      <c r="C260" s="2" t="inlineStr">
        <is>
          <t>Ingestion &amp; Sensory Intake</t>
        </is>
      </c>
      <c r="D260" s="2" t="inlineStr">
        <is>
          <t>§4.10.3</t>
        </is>
      </c>
      <c r="E260" s="2" t="inlineStr">
        <is>
          <t>Admin§4.10.3Operator Dispatch a stimulus to a registered substrate through its connector under a declared capability, refusing an undeclared capability at the boundary and recording each stimulus with its dispatching identity; emit no stimulus on an inference that stimulation would be useful, and let no substrate response adjust the parameters governing when it may be stimulated. Where a substrate comprises living tissue, the operating institution's governance and any review its jurisdiction requires apply; this specification authorises no substrate's operation.</t>
        </is>
      </c>
      <c r="F260" s="2" t="inlineStr">
        <is>
          <t>A substrate output is admitted as calibrated evidence only where it clears the configured confidence floor.</t>
        </is>
      </c>
      <c r="G260" s="2">
        <f>IF(0.71&gt;=0.6,"Substrate output admitted as calibrated evidence","Below floor - recorded, not admitted")</f>
        <v/>
      </c>
    </row>
    <row r="261">
      <c r="A261" s="2" t="n">
        <v>260</v>
      </c>
      <c r="B261" s="2" t="inlineStr">
        <is>
          <t>Analog Convergence Realization</t>
        </is>
      </c>
      <c r="C261" s="2" t="inlineStr">
        <is>
          <t>Retrieval &amp; Response</t>
        </is>
      </c>
      <c r="D261" s="2" t="inlineStr">
        <is>
          <t>§7.7.1</t>
        </is>
      </c>
      <c r="E261" s="2" t="inlineStr">
        <is>
          <t>Perform the threshold update by the settling of a variable-conductance array rather than by computing it: activations applied as row potentials, weights as element conductances, the weighted sum as column current, the stable state read by comparing current against a reference. The mapping is exact rather than analogical — Ohm's and Kirchhoff's laws produce the summation — and the duration of one settling does not scale with network size, where a digital update of an 8,192-unit network performs 67,108,864 multiply-accumulates.</t>
        </is>
      </c>
      <c r="F261" s="2" t="inlineStr">
        <is>
          <t>Digital multiply-accumulates per update = N^2; one analog settling performs the same summation as a single physical operation.</t>
        </is>
      </c>
      <c r="G261" s="2">
        <f>8192*8192</f>
        <v/>
      </c>
    </row>
    <row r="262">
      <c r="A262" s="2" t="n">
        <v>261</v>
      </c>
      <c r="B262" s="2" t="inlineStr">
        <is>
          <t>Unique-Equilibrium Precondition</t>
        </is>
      </c>
      <c r="C262" s="2" t="inlineStr">
        <is>
          <t>Retrieval &amp; Response</t>
        </is>
      </c>
      <c r="D262" s="2" t="inlineStr">
        <is>
          <t>§7.7.2</t>
        </is>
      </c>
      <c r="E262" s="2" t="inlineStr">
        <is>
          <t>Permit analog realization only under the §116.2 monotone parameterization, refusing an array operated under the capacity bound alone. Conductance elements cannot be manufactured exactly, so two arrays hold weight matrices differing by fabrication tolerance; under a capacity bound both converge but may settle to different stable states while each behaves correctly, whereas under a unique equilibrium both settle to the same one. Uniqueness ceases to be a strengthening and becomes the precondition.</t>
        </is>
      </c>
      <c r="F262" s="2" t="inlineStr">
        <is>
          <t>Analog operation is permitted only where the network's registered convergence regime is unique-equilibrium.</t>
        </is>
      </c>
      <c r="G262" s="2">
        <f>IF(COUNTIF({"unique-equilibrium"},"capacity-bounded")&gt;0,"Analog realization permitted","Refused - analog realization requires the unique-equilibrium regime")</f>
        <v/>
      </c>
    </row>
    <row r="263">
      <c r="A263" s="2" t="n">
        <v>262</v>
      </c>
      <c r="B263" s="2" t="inlineStr">
        <is>
          <t>Cross-Array Agreement</t>
        </is>
      </c>
      <c r="C263" s="2" t="inlineStr">
        <is>
          <t>Retrieval &amp; Response</t>
        </is>
      </c>
      <c r="D263" s="2" t="inlineStr">
        <is>
          <t>§7.7.3</t>
        </is>
      </c>
      <c r="E263" s="2" t="inlineStr">
        <is>
          <t>Register each array with its dimensions, conductance range, fabrication tolerance and read tolerance; resolve a column falling within tolerance of the threshold by a further settling rather than by rounding, and report unresolved with fallback to the digital path where it does not resolve; require two arrays on a common input under a common weight specification to agree within tolerance, raising a fault on divergence rather than averaging, since averaging two disagreeing results produces a state neither array reached and a state no array reached is not an attractor of either.</t>
        </is>
      </c>
      <c r="F263" s="2" t="inlineStr">
        <is>
          <t>Two arrays agree where |state_A - state_B| &lt;= registered read tolerance; beyond it a fault is raised.</t>
        </is>
      </c>
      <c r="G263" s="2">
        <f>IF(ABS(0.42-0.415)&lt;=0.05,"Chips agree within tolerance","Divergence - device variation exceeds tolerance")</f>
        <v/>
      </c>
    </row>
    <row r="264">
      <c r="A264" s="2" t="n">
        <v>263</v>
      </c>
      <c r="B264" s="2" t="inlineStr">
        <is>
          <t>Cross-Array Agreement Under Variation</t>
        </is>
      </c>
      <c r="C264" s="2" t="inlineStr">
        <is>
          <t>Retrieval &amp; Response</t>
        </is>
      </c>
      <c r="D264" s="2" t="inlineStr">
        <is>
          <t>§116.2</t>
        </is>
      </c>
      <c r="E264" s="2" t="inlineStr">
        <is>
          <t>Parameterize by spectral norm below unity rather than by diagonal dominance: a diagonal-dominance constraint collapses the state toward zero where a unit's sign is near-ambiguous, yielding a unique equilibrium carrying no information, whereas a contraction retains the structure the weights encode. Simulated over 64 units holding six patterns, two matrices differing by 5% conductance variation settled differently on 30.5% of inputs under the capacity bound and 0.5% under a contraction at spectral norm 0.9 — recorded as a simulation result, not a hardware measurement.</t>
        </is>
      </c>
      <c r="F264" s="2" t="inlineStr">
        <is>
          <t>Disagreement rate between two varied weight matrices is materially lower under a spectral contraction than under the capacity bound.</t>
        </is>
      </c>
      <c r="G264" s="2">
        <f>1-0.005/0.305</f>
        <v/>
      </c>
    </row>
    <row r="265">
      <c r="A265" s="2" t="n">
        <v>264</v>
      </c>
      <c r="B265" s="2" t="inlineStr">
        <is>
          <t>Engine-Specific Prompt Composition</t>
        </is>
      </c>
      <c r="C265" s="2" t="inlineStr">
        <is>
          <t>Ingestion &amp; Sensory Intake</t>
        </is>
      </c>
      <c r="D265" s="2" t="inlineStr">
        <is>
          <t>§126.2Operator</t>
        </is>
      </c>
      <c r="E265" s="2" t="inlineStr">
        <is>
          <t>Compose a prompt from knowledge records through the regeneration mechanism under the vocabulary constraint, adding semantic markers naming the concepts to address, extraction instructions specifying the return form, and alignment constraints stating the target record schema; compose per engine from a registered profile recording accepted input form, context bound, declared capabilities and reliability. Composition is deterministic, so an identical request under an identical profile yields an identical prompt and a differing reply is attributable to the engine rather than to the asking.</t>
        </is>
      </c>
      <c r="F265" s="2" t="inlineStr">
        <is>
          <t>Confidence of a converted record = MIN(engine reliability, extraction-instruction reliability).</t>
        </is>
      </c>
      <c r="G265" s="2">
        <f>MIN(0.88,0.62)</f>
        <v/>
      </c>
    </row>
    <row r="266">
      <c r="A266" s="2" t="n">
        <v>265</v>
      </c>
      <c r="B266" s="2" t="inlineStr">
        <is>
          <t>Reply Conversion to Knowledge Records</t>
        </is>
      </c>
      <c r="C266" s="2" t="inlineStr">
        <is>
          <t>Ingestion &amp; Sensory Intake</t>
        </is>
      </c>
      <c r="D266" s="2" t="inlineStr">
        <is>
          <t>§126.3Operator</t>
        </is>
      </c>
      <c r="E266" s="2" t="inlineStr">
        <is>
          <t>Dispatch through a registered connector under a declared capability, refusing an unregistered engine or undeclared capability at the boundary; rate-limit and batch under compute accounting, deferring over-budget dispatches; terminate on failure, malformed reply or over-bound reply without producing a partial record. Normalize and segment the reply into individual assertions, convert each to a candidate record validated against its type's machine definition, and assign a temporal anchor from elicitation time, a semantic fingerprint and a provenance reference naming prompt, engine, version and position within the reply.</t>
        </is>
      </c>
      <c r="F266" s="2" t="inlineStr">
        <is>
          <t>An assertion is converted only where it validates against the machine definition of its type; otherwise it is refused at construction.</t>
        </is>
      </c>
      <c r="G266" s="2">
        <f>IF(COUNTIF({"human-authored","ai-derived"},"ai-derived")&gt;0,"Citation discloses model origin","Ordinary citation")</f>
        <v/>
      </c>
    </row>
    <row r="267">
      <c r="A267" s="2" t="n">
        <v>266</v>
      </c>
      <c r="B267" s="2" t="inlineStr">
        <is>
          <t>Derivation Marking and Disclosure</t>
        </is>
      </c>
      <c r="C267" s="2" t="inlineStr">
        <is>
          <t>Ingestion &amp; Sensory Intake</t>
        </is>
      </c>
      <c r="D267" s="2" t="inlineStr">
        <is>
          <t>§126.5Operator</t>
        </is>
      </c>
      <c r="E267" s="2" t="inlineStr">
        <is>
          <t>Carry the engine identity as an unmodifiable, unremovable field of the record schema, and disclose it in any citation resolving to that record, so a reader following a citation is told the assertion was generated by a named engine from a recorded prompt rather than asserted by an authored source. Prevents the failure in which the authority behind a cited claim turns out to be that a model produced it when asked.</t>
        </is>
      </c>
      <c r="F267" s="2" t="inlineStr">
        <is>
          <t>A record cannot be re-typed to shed its derivation marking; every citation to it discloses the marking.</t>
        </is>
      </c>
      <c r="G267" s="2">
        <f>IF(COUNTIF({"human-authored","ai-derived"},"ai-derived")&gt;0,"Citation discloses model origin","Ordinary citation")</f>
        <v/>
      </c>
    </row>
    <row r="268">
      <c r="A268" s="2" t="n">
        <v>267</v>
      </c>
      <c r="B268" s="2" t="inlineStr">
        <is>
          <t>Self-Corroboration Bar</t>
        </is>
      </c>
      <c r="C268" s="2" t="inlineStr">
        <is>
          <t>Ingestion &amp; Sensory Intake</t>
        </is>
      </c>
      <c r="D268" s="2" t="inlineStr">
        <is>
          <t>§126.5Operator</t>
        </is>
      </c>
      <c r="E268" s="2" t="inlineStr">
        <is>
          <t>Treat each registered engine as one source class, so repeated elicitation raises accumulated evidence without raising diversity — three assertions from one engine yield an effective source-class count of 1.0 against 3.0 for three distinct engines — and refuse a corroboration offered by a record derived from the same engine as the record it corroborates. Prevents confidence manufactured by repetition, where a hundred elicitations from one model would otherwise report near-certainty for a claim no source ever made.</t>
        </is>
      </c>
      <c r="F268" s="2" t="inlineStr">
        <is>
          <t>Effective source classes D = 1/sum of squared weight proportions; all weight in one engine yields D = 1.</t>
        </is>
      </c>
      <c r="G268" s="2">
        <f>1/((3/3)^2)</f>
        <v/>
      </c>
    </row>
    <row r="269">
      <c r="A269" s="2" t="n">
        <v>268</v>
      </c>
      <c r="B269" s="2" t="inlineStr">
        <is>
          <t>Citation Verification of a Reply</t>
        </is>
      </c>
      <c r="C269" s="2" t="inlineStr">
        <is>
          <t>Ingestion &amp; Sensory Intake</t>
        </is>
      </c>
      <c r="D269" s="2" t="inlineStr">
        <is>
          <t>§126.6Operator</t>
        </is>
      </c>
      <c r="E269" s="2" t="inlineStr">
        <is>
          <t>Verify every citation contained in a model-derived assertion against the record store, recording it as verified where it resolves and unverified where it does not; admit the assertion carrying that recording rather than withholding it, so a fabricated citation becomes a recorded property of the assertion rather than an undetected defect. Record contradictions with authored records in the contradiction index, noting the derivation difference so a reviewer knows one side originated from a model.</t>
        </is>
      </c>
      <c r="F269" s="2" t="inlineStr">
        <is>
          <t>A corroboration is admitted only where the corroborating record derives from a different source class than the record corroborated.</t>
        </is>
      </c>
      <c r="G269" s="2">
        <f>IF(COUNTIF({"model-A","model-A","model-A"},"model-A")&gt;1,"Refused - self-corroboration within one model","Independent corroboration")</f>
        <v/>
      </c>
    </row>
    <row r="270">
      <c r="A270" s="2" t="n">
        <v>269</v>
      </c>
      <c r="B270" s="2" t="inlineStr">
        <is>
          <t>Competitive Candidate Resolution</t>
        </is>
      </c>
      <c r="C270" s="2" t="inlineStr">
        <is>
          <t>Retrieval &amp; Response</t>
        </is>
      </c>
      <c r="D270" s="2" t="inlineStr">
        <is>
          <t>§21.4.3</t>
        </is>
      </c>
      <c r="E270" s="2" t="inlineStr">
        <is>
          <t>Where a query admits several mutually-inconsistent interpretations, activate the candidate records supporting each together rather than evaluating them in sequence; reduce each candidate's activation in proportion to the summed activation of the candidates inconsistent with it; iterate to a stable state under the existing threshold update; suppress candidates below the retention floor. The competition is among candidates rather than among domains, since a domain owns exactly one decision and two domains proposing competing answers would contradict the partition. Where two candidates survive at comparable activation the set does not resolve and clarification is requested rather than the higher being taken.</t>
        </is>
      </c>
      <c r="F270" s="2" t="inlineStr">
        <is>
          <t>Suppressed activation = a_i - k * sum of activations of candidates inconsistent with i; retained where above the floor.</t>
        </is>
      </c>
      <c r="G270" s="2">
        <f>0.82-0.35*(0.61+0.44)</f>
        <v/>
      </c>
    </row>
    <row r="271">
      <c r="A271" s="2" t="n">
        <v>270</v>
      </c>
      <c r="B271" s="2" t="inlineStr">
        <is>
          <t>Specialized Feed Registration</t>
        </is>
      </c>
      <c r="C271" s="2" t="inlineStr">
        <is>
          <t>Ingestion &amp; Sensory Intake</t>
        </is>
      </c>
      <c r="D271" s="2" t="inlineStr">
        <is>
          <t>§127.1</t>
        </is>
      </c>
      <c r="E271" s="2" t="inlineStr">
        <is>
          <t>Admin§127.1Operator Register a live data source with publication authority, refresh interval, staleness bound, value class, unit and dimension, restatement policy and redistribution entitlement; a registration omitting any of these is connectable but not admissible as a query source, since each governs a decision the system would otherwise make by assumption. Refuse an arithmetic combination of two values of differing dimension rather than computing it.</t>
        </is>
      </c>
      <c r="F271" s="2" t="inlineStr">
        <is>
          <t>A feed is admissible as a query source only where all seven registration properties are present.</t>
        </is>
      </c>
      <c r="G271" s="2">
        <f>IF(COUNTIF({"publication","extraction"},"publication")&gt;0,"Admitted at publication authority; calibration bypassed","Calibrated from extraction")</f>
        <v/>
      </c>
    </row>
    <row r="272">
      <c r="A272" s="2" t="n">
        <v>271</v>
      </c>
      <c r="B272" s="2" t="inlineStr">
        <is>
          <t>Publication Authority Admission</t>
        </is>
      </c>
      <c r="C272" s="2" t="inlineStr">
        <is>
          <t>Ingestion &amp; Sensory Intake</t>
        </is>
      </c>
      <c r="D272" s="2" t="inlineStr">
        <is>
          <t>§127.2</t>
        </is>
      </c>
      <c r="E272" s="2" t="inlineStr">
        <is>
          <t>Admit a non-forecast value at its publisher's authority without applying extraction confidence, modality coefficient or source reliability, since calibration would invent an uncertainty that does not exist — a published price is not 87% likely to be the price. The record asserts that the authority published the value, not that it is correct. A forecast is admitted carrying the uncertainty its publisher states. Where a publisher states an interval, retain the interval and compute any required point by a registered rule rather than selecting one.</t>
        </is>
      </c>
      <c r="F272" s="2" t="inlineStr">
        <is>
          <t>Point value from a published interval = registered rule over the interval; the interval is retained alongside.</t>
        </is>
      </c>
      <c r="G272" s="2">
        <f>0.5*(18.2+21.6)</f>
        <v/>
      </c>
    </row>
    <row r="273">
      <c r="A273" s="2" t="n">
        <v>272</v>
      </c>
      <c r="B273" s="2" t="inlineStr">
        <is>
          <t>Staleness Bound</t>
        </is>
      </c>
      <c r="C273" s="2" t="inlineStr">
        <is>
          <t>Ingestion &amp; Sensory Intake</t>
        </is>
      </c>
      <c r="D273" s="2" t="inlineStr">
        <is>
          <t>§127.3</t>
        </is>
      </c>
      <c r="E273" s="2" t="inlineStr">
        <is>
          <t>Serve a value only where its age at query time is within the registered staleness bound; beyond it state the age and publication time rather than serving, extrapolating or substituting the nearest available. A feed value does not decay — it expires, since a quoted value does not grow less certain with age but becomes superseded, and answering from it is not answering with lower confidence but answering wrongly. Absence of publication within a multiple of the refresh interval marks the feed interrupted, distinguishing a stopped feed from an unchanged value.</t>
        </is>
      </c>
      <c r="F273" s="2" t="inlineStr">
        <is>
          <t>Serve where (query time − publication time) ≤ staleness bound; otherwise return the age and the publication time.</t>
        </is>
      </c>
      <c r="G273" s="2">
        <f>IF(47&lt;=60,"Within staleness bound - served","Stale - refused with age stated")</f>
        <v/>
      </c>
    </row>
    <row r="274">
      <c r="A274" s="2" t="n">
        <v>273</v>
      </c>
      <c r="B274" s="2" t="inlineStr">
        <is>
          <t>Restatement Distinct From Correction</t>
        </is>
      </c>
      <c r="C274" s="2" t="inlineStr">
        <is>
          <t>Ingestion &amp; Sensory Intake</t>
        </is>
      </c>
      <c r="D274" s="2" t="inlineStr">
        <is>
          <t>§127.4</t>
        </is>
      </c>
      <c r="E274" s="2" t="inlineStr">
        <is>
          <t>Record a publisher's revision of an already-reported period as a restatement related to the prior value, retaining the prior value unmarked and queryable as what was published at its publication time — because it was not wrong, it was correct on the information then available. Reserve the supersession chain and the erroneous marking for a revision issued as a correction. A revision arriving outside the registered restatement policy is held for a named human rather than classified by inference.</t>
        </is>
      </c>
      <c r="F274" s="2" t="inlineStr">
        <is>
          <t>A revision is a restatement or a correction by registered policy; the relation determines whether the prior value is marked erroneous.</t>
        </is>
      </c>
      <c r="G274" s="2">
        <f>IF(COUNTIF({"restatement","correction"},"restatement")&gt;0,"Prior value retained as correct-when-published","Prior value superseded as erroneous")</f>
        <v/>
      </c>
    </row>
    <row r="275">
      <c r="A275" s="2" t="n">
        <v>274</v>
      </c>
      <c r="B275" s="2" t="inlineStr">
        <is>
          <t>Redistribution Entitlement</t>
        </is>
      </c>
      <c r="C275" s="2" t="inlineStr">
        <is>
          <t>Ingestion &amp; Sensory Intake</t>
        </is>
      </c>
      <c r="D275" s="2" t="inlineStr">
        <is>
          <t>§127.5</t>
        </is>
      </c>
      <c r="E275" s="2" t="inlineStr">
        <is>
          <t>User-facing§127.5Reader Express what a requester may do with a served value — display, derive, delayed, or redistribute — as a dimension distinct from what they may reach. Enforce at composition rather than at export: a response that would carry a value beyond its entitlement is composed without it and the entitlement is stated, so the requester is told rather than left to infer. A derived value carries the source feed's entitlement unless a registered derivation discharges it, so an entitlement cannot be escaped by computing on a value and redistributing the result.</t>
        </is>
      </c>
      <c r="F275" s="2" t="inlineStr">
        <is>
          <t>A value enters a response only where the requester's redistribution entitlement admits the intended use.</t>
        </is>
      </c>
      <c r="G275" s="2">
        <f>IF(COUNTIF({"view","redistribute"},"redistribute")&gt;0,"Refused - redistribution not entitled","Value may be displayed")</f>
        <v/>
      </c>
    </row>
    <row r="276">
      <c r="A276" s="2" t="n">
        <v>275</v>
      </c>
      <c r="B276" s="2" t="inlineStr">
        <is>
          <t>Agent Definition Completeness</t>
        </is>
      </c>
      <c r="C276" s="2" t="inlineStr">
        <is>
          <t>Platform Governance &amp; Evolution</t>
        </is>
      </c>
      <c r="D276" s="2" t="inlineStr">
        <is>
          <t>§128.1</t>
        </is>
      </c>
      <c r="E276" s="2" t="inlineStr">
        <is>
          <t>Admin§128.1Operator Register a defined agent only where all six phases are complete — purpose and boundary, operational function with deterministic decision rules and error handling, scope description as an entitlement, runtime with duration bound and termination condition, declared capability set, and a review with a named human approval. Refuse a definition lacking any element rather than supplying a default, since an agent whose behaviour is not fully determined before it runs cannot be evaluated before it runs. An agent without a termination condition is not registrable.</t>
        </is>
      </c>
      <c r="F276" s="2" t="inlineStr">
        <is>
          <t>Registration proceeds only where every element of all six definition phases is present.</t>
        </is>
      </c>
      <c r="G276" s="2">
        <f>IF(AND(1=1,1=1,1=1,1=1,1=1,1=1),"Agent admitted to registration","Refused - definition incomplete")</f>
        <v/>
      </c>
    </row>
    <row r="277">
      <c r="A277" s="2" t="n">
        <v>276</v>
      </c>
      <c r="B277" s="2" t="inlineStr">
        <is>
          <t>Agent Capability Bounding</t>
        </is>
      </c>
      <c r="C277" s="2" t="inlineStr">
        <is>
          <t>Platform Governance &amp; Evolution</t>
        </is>
      </c>
      <c r="D277" s="2" t="inlineStr">
        <is>
          <t>§128.1</t>
        </is>
      </c>
      <c r="E277" s="2" t="inlineStr">
        <is>
          <t>Admin§128.1Operator Bound an agent's declared capability set above by the capabilities of the identity registering it, so an agent cannot be given authority its author does not hold; refuse an undeclared capability at the boundary at execution time. Re-perform the governance evaluation at each execution rather than at registration, so an agent does not accumulate authority by having been approved once.</t>
        </is>
      </c>
      <c r="F277" s="2" t="inlineStr">
        <is>
          <t>An operation executes only where it lies within the agent's declared capability set.</t>
        </is>
      </c>
      <c r="G277" s="2">
        <f>IF(COUNTIF({"read","compose"},"write")&gt;0,"Refused - capability not declared","Within declared capability")</f>
        <v/>
      </c>
    </row>
    <row r="278">
      <c r="A278" s="2" t="n">
        <v>277</v>
      </c>
      <c r="B278" s="2" t="inlineStr">
        <is>
          <t>Agent Lifecycle Enforcement</t>
        </is>
      </c>
      <c r="C278" s="2" t="inlineStr">
        <is>
          <t>Platform Governance &amp; Evolution</t>
        </is>
      </c>
      <c r="D278" s="2" t="inlineStr">
        <is>
          <t>§128.4</t>
        </is>
      </c>
      <c r="E278" s="2" t="inlineStr">
        <is>
          <t>Admin§128.4Operator Enforce rather than track the lifecycle across six stages: initialization, execution within window and duration bound, non-disableable monitoring, advisory reporting, termination, archival. Terminate on lifecycle expiry, owner or operator request, governance exclusion, capability violation or exceeding a configured error rate, taking effect before the next execution. Renewal is a fresh registration with a fresh review and approval, so an agent cannot persist by inattention.</t>
        </is>
      </c>
      <c r="F278" s="2" t="inlineStr">
        <is>
          <t>An agent terminates where elapsed lifetime reaches the registered lifecycle bound, irrespective of attention.</t>
        </is>
      </c>
      <c r="G278" s="2">
        <f>IF(14&gt;=14,"Lifecycle expired - agent terminated","Within lifecycle")</f>
        <v/>
      </c>
    </row>
    <row r="279">
      <c r="A279" s="2" t="n">
        <v>278</v>
      </c>
      <c r="B279" s="2" t="inlineStr">
        <is>
          <t>Agent Decision Trace</t>
        </is>
      </c>
      <c r="C279" s="2" t="inlineStr">
        <is>
          <t>Platform Governance &amp; Evolution</t>
        </is>
      </c>
      <c r="D279" s="2" t="inlineStr">
        <is>
          <t>§128.5</t>
        </is>
      </c>
      <c r="E279" s="2" t="inlineStr">
        <is>
          <t>Write on each execution a trace of the trigger fired, scope resolved, records read, branch taken by each rule, outputs, every refusal with its cause, and compute consumed. Write it by the execution mechanism rather than by the agent, so an agent cannot omit from its own trace what it would prefer not to record, and append it to the provenance chain under the keyed-checksum discipline so later alteration is detectable. Record refusals and terminations with equal prominence to successes.</t>
        </is>
      </c>
      <c r="F279" s="2" t="inlineStr">
        <is>
          <t>A deductive conclusion an agent may admit carries confidence bounded by the least of the traversed edge confidences.</t>
        </is>
      </c>
      <c r="G279" s="2">
        <f>MIN(0.62,0.55)</f>
        <v/>
      </c>
    </row>
    <row r="280">
      <c r="A280" s="2" t="n">
        <v>279</v>
      </c>
      <c r="B280" s="2" t="inlineStr">
        <is>
          <t>Advisory Distinguished From Approval</t>
        </is>
      </c>
      <c r="C280" s="2" t="inlineStr">
        <is>
          <t>Platform Governance &amp; Evolution</t>
        </is>
      </c>
      <c r="D280" s="2" t="inlineStr">
        <is>
          <t>§128.6</t>
        </is>
      </c>
      <c r="E280" s="2" t="inlineStr">
        <is>
          <t>Admin§128.6Operator Adopt the agent's self-analysis and warnings, which block registration on an unresolved finding, while refusing its self-confirmation of compliance: a mechanism cannot establish its own compliance, and a confirmation so produced would be relied on precisely where reliance is least warranted. Compliance is established by the governance evaluation performed upon the agent and by a named human approval. During operation an agent reports but does not decide — it does not renew itself, widen its scope, extend its lifecycle or clear its own findings.</t>
        </is>
      </c>
      <c r="F280" s="2" t="inlineStr">
        <is>
          <t>A registration or continuation proceeds on a recorded human approval; an agent's own report is advisory only.</t>
        </is>
      </c>
      <c r="G280" s="2">
        <f>IF(COUNTIF({"advisory","approval"},"approval")&gt;0,"Named human approval recorded","Advisory only - not an approval")</f>
        <v/>
      </c>
    </row>
    <row r="281">
      <c r="A281" s="2" t="n">
        <v>280</v>
      </c>
      <c r="B281" s="2" t="inlineStr">
        <is>
          <t>Skill Inventory Layer</t>
        </is>
      </c>
      <c r="C281" s="2" t="inlineStr">
        <is>
          <t>World Model &amp; Perception</t>
        </is>
      </c>
      <c r="D281" s="2" t="inlineStr">
        <is>
          <t>§53.10 (Pass 113)</t>
        </is>
      </c>
      <c r="E281" s="2" t="inlineStr">
        <is>
          <t>Store procedural knowledge — how to perform a task, manipulate an object, or execute a multi-step operation — as provenance-tracked procedural concept models distinct from declarative Fact Units, formed from repeated observation across the ordinary ingestion modalities including direct sensory experience and ingested video, consolidating on a count; retrievable, citable, and bounded by the requester’s entitlement.</t>
        </is>
      </c>
      <c r="F281" s="2" t="inlineStr">
        <is>
          <t>A procedural concept informs Scenario Graph simulation and equipment-control command compilation; it never itself emits a command, every emission remaining subject to the constraint evaluation and authorization classes specified for equipment control.</t>
        </is>
      </c>
      <c r="G281" s="2" t="inlineStr"/>
    </row>
    <row r="282">
      <c r="A282" s="2" t="n">
        <v>281</v>
      </c>
      <c r="B282" s="2" t="inlineStr">
        <is>
          <t>Epistemic–Aleatory Uncertainty Decomposition</t>
        </is>
      </c>
      <c r="C282" s="2" t="inlineStr">
        <is>
          <t>Knowledge Substrate</t>
        </is>
      </c>
      <c r="D282" s="2" t="inlineStr">
        <is>
          <t>§3.8.1 (Pass 115)</t>
        </is>
      </c>
      <c r="E282" s="2" t="inlineStr">
        <is>
          <t>Classify residual uncertainty on the evidence pair deterministically as epistemic (reducible by further observation) or aleatory (irreducible variability of the observed world), carrying source-reliability weighting, measurement precision, and consensus breadth as explicit, queryable sub-parameters.</t>
        </is>
      </c>
      <c r="F282" s="2" t="inlineStr">
        <is>
          <t>The Baconian loop iterates while residual uncertainty is predominantly epistemic and stands down, discarding no evidence, when the residue is aleatory.</t>
        </is>
      </c>
      <c r="G282" s="2" t="n"/>
    </row>
    <row r="283">
      <c r="A283" s="2" t="n">
        <v>282</v>
      </c>
      <c r="B283" s="2" t="inlineStr">
        <is>
          <t>Assertion Polarity Field</t>
        </is>
      </c>
      <c r="C283" s="2" t="inlineStr">
        <is>
          <t>Knowledge Substrate</t>
        </is>
      </c>
      <c r="D283" s="2" t="inlineStr">
        <is>
          <t>§3.8.2 (Pass 115)</t>
        </is>
      </c>
      <c r="E283" s="2" t="inlineStr">
        <is>
          <t>Mark every Fact Unit explicitly affirmative or negative, making a negative finding a first-class record; polarity participates in the semantic fingerprint.</t>
        </is>
      </c>
      <c r="F283" s="2" t="inlineStr">
        <is>
          <t>Records agreeing on the same assertion core with opposite polarity are contradictory by field comparison; the absence of any record obliges refusal under the Without-Information Rule, while a known negative is an answer.</t>
        </is>
      </c>
      <c r="G283" s="2" t="n"/>
    </row>
    <row r="284">
      <c r="A284" s="2" t="n">
        <v>283</v>
      </c>
      <c r="B284" s="2" t="inlineStr">
        <is>
          <t>Native N-ary Assertion Structure</t>
        </is>
      </c>
      <c r="C284" s="2" t="inlineStr">
        <is>
          <t>Knowledge Substrate</t>
        </is>
      </c>
      <c r="D284" s="2" t="inlineStr">
        <is>
          <t>§3.8.3 (Pass 115)</t>
        </is>
      </c>
      <c r="E284" s="2" t="inlineStr">
        <is>
          <t>Carry one assertion with multiple typed argument slots — subject, value, unit, instrument, method, condition, observer — under one FUID, one semantic fingerprint computed over the complete argument structure, and one evidence pair.</t>
        </is>
      </c>
      <c r="F284" s="2" t="inlineStr">
        <is>
          <t>An n-ary assertion is one atomic record, never a constellation of binary statements joined by synthetic nodes.</t>
        </is>
      </c>
      <c r="G284" s="2" t="n"/>
    </row>
    <row r="285">
      <c r="A285" s="2" t="n">
        <v>284</v>
      </c>
      <c r="B285" s="2" t="inlineStr">
        <is>
          <t>Applicability Scope Field</t>
        </is>
      </c>
      <c r="C285" s="2" t="inlineStr">
        <is>
          <t>Knowledge Substrate</t>
        </is>
      </c>
      <c r="D285" s="2" t="inlineStr">
        <is>
          <t>§3.8.4 (Pass 115)</t>
        </is>
      </c>
      <c r="E285" s="2" t="inlineStr">
        <is>
          <t>State in the record the conditions under which the assertion holds — temporal interval, jurisdiction, edition, parameter range, population — as the record-side complement of the context lock.</t>
        </is>
      </c>
      <c r="F285" s="2" t="inlineStr">
        <is>
          <t>Scope participates in retrieval matching; assertions under disjoint scopes do not conflict and are reported by condition rather than as contradiction.</t>
        </is>
      </c>
      <c r="G285" s="2" t="n"/>
    </row>
    <row r="286">
      <c r="A286" s="2" t="n">
        <v>285</v>
      </c>
      <c r="B286" s="2" t="inlineStr">
        <is>
          <t>Baconian Adjustment History Layer</t>
        </is>
      </c>
      <c r="C286" s="2" t="inlineStr">
        <is>
          <t>Knowledge Substrate</t>
        </is>
      </c>
      <c r="D286" s="2" t="inlineStr">
        <is>
          <t>§3.8.5 (Pass 115)</t>
        </is>
      </c>
      <c r="E286" s="2" t="inlineStr">
        <is>
          <t>Append an immutable history entry on every feedback-loop pass — the observation, its source class, the fractional reliability weighting applied, and the resulting movement of the evidence pair and credible interval.</t>
        </is>
      </c>
      <c r="F286" s="2" t="inlineStr">
        <is>
          <t>The history layer is metadata only and never touches semantic identity; a record’s confidence is deterministically replayable from first observation to present state.</t>
        </is>
      </c>
      <c r="G286" s="2" t="n"/>
    </row>
    <row r="287">
      <c r="A287" s="2" t="n">
        <v>286</v>
      </c>
      <c r="B287" s="2" t="inlineStr">
        <is>
          <t>Cryptographic Integrity Chain</t>
        </is>
      </c>
      <c r="C287" s="2" t="inlineStr">
        <is>
          <t>Knowledge Substrate</t>
        </is>
      </c>
      <c r="D287" s="2" t="inlineStr">
        <is>
          <t>§3.8.6 (Pass 115)</t>
        </is>
      </c>
      <c r="E287" s="2" t="inlineStr">
        <is>
          <t>Hash each record’s immutable core and carry the superseded record’s hash on every supersession link, making version chains tamper-evident end to end by standard hashing alone.</t>
        </is>
      </c>
      <c r="F287" s="2" t="inlineStr">
        <is>
          <t>Integrity machinery is internal to the Fact Graph: no distributed ledger, no token, no ownership identity node — the declined blockchain ownership layer remains declined.</t>
        </is>
      </c>
      <c r="G287" s="2" t="n"/>
    </row>
    <row r="288">
      <c r="A288" s="2" t="n">
        <v>287</v>
      </c>
      <c r="B288" s="2" t="inlineStr">
        <is>
          <t>Canonical Compact Encoding</t>
        </is>
      </c>
      <c r="C288" s="2" t="inlineStr">
        <is>
          <t>Knowledge Substrate</t>
        </is>
      </c>
      <c r="D288" s="2" t="inlineStr">
        <is>
          <t>§3.8.7 (Pass 115)</t>
        </is>
      </c>
      <c r="E288" s="2" t="inlineStr">
        <is>
          <t>Serialize the Fact Unit to a defined lossless binary form — required fields at fixed positions, optional fields as tagged extensions — with FUID and semantic fingerprint identical in either form.</t>
        </is>
      </c>
      <c r="F288" s="2" t="inlineStr">
        <is>
          <t>The compact form is the same record, not a summary of it; it round-trips without change and grounds micro-embedded and offline deployment and record-level semantic media compression.</t>
        </is>
      </c>
      <c r="G288" s="2" t="n"/>
    </row>
    <row r="289">
      <c r="A289" s="2" t="n">
        <v>288</v>
      </c>
      <c r="B289" s="2" t="inlineStr">
        <is>
          <t>Record-Fused Canonical Encoding</t>
        </is>
      </c>
      <c r="C289" s="2" t="inlineStr">
        <is>
          <t>Knowledge Substrate</t>
        </is>
      </c>
      <c r="D289" s="2" t="inlineStr">
        <is>
          <t>§3.9.1 (Pass 116)</t>
        </is>
      </c>
      <c r="E289" s="2" t="inlineStr">
        <is>
          <t>Carry the compact canonical encoding of §3.8.7 as the Fact Unit’s own at-rest and wire form — required fields at fixed offsets, optional fields tagged, FUID and semantic fingerprint identical to the full form — so the encoded record is self-describing without an external schema.</t>
        </is>
      </c>
      <c r="F289" s="2" t="inlineStr">
        <is>
          <t>The encoding is fused to the record, not to any store; it is the same record in memory, on disk, or in flight.</t>
        </is>
      </c>
      <c r="G289" s="2" t="n"/>
    </row>
    <row r="290">
      <c r="A290" s="2" t="n">
        <v>289</v>
      </c>
      <c r="B290" s="2" t="inlineStr">
        <is>
          <t>Opaque-Blob Storage Contract (Database-Neutral Boundary)</t>
        </is>
      </c>
      <c r="C290" s="2" t="inlineStr">
        <is>
          <t>Knowledge Substrate</t>
        </is>
      </c>
      <c r="D290" s="2" t="inlineStr">
        <is>
          <t>§3.9.2 (Pass 116)</t>
        </is>
      </c>
      <c r="E290" s="2" t="inlineStr">
        <is>
          <t>Store an encoded Fact Unit in any host database, repository, or key-value store as an opaque value the store never parses, indexes internally, or interprets; expose only the FUID and fingerprint as opaque keys where an index is wanted.</t>
        </is>
      </c>
      <c r="F290" s="2" t="inlineStr">
        <is>
          <t>The store’s only obligations are to accept and return bytes unchanged, so any database qualifies and no proprietary format or query-engine capability is imposed on it.</t>
        </is>
      </c>
      <c r="G290" s="2" t="n"/>
    </row>
    <row r="291">
      <c r="A291" s="2" t="n">
        <v>290</v>
      </c>
      <c r="B291" s="2" t="inlineStr">
        <is>
          <t>Internal Fact Query with Edge Translation</t>
        </is>
      </c>
      <c r="C291" s="2" t="inlineStr">
        <is>
          <t>Retrieval &amp; Response</t>
        </is>
      </c>
      <c r="D291" s="2" t="inlineStr">
        <is>
          <t>§3.9.3 (Pass 116)</t>
        </is>
      </c>
      <c r="E291" s="2" t="inlineStr">
        <is>
          <t>Express queries over Fact Units internally in terms of the record (identifiers, fingerprint, typed adjacency, confidence, applicability scope); where external material is needed, an adapter translates the request into the host store’s native language.</t>
        </is>
      </c>
      <c r="F291" s="2" t="inlineStr">
        <is>
          <t>The external store never receives the internal fact-query form; it is a source and repository, never the reasoning engine, so the guarantees are independent of it.</t>
        </is>
      </c>
      <c r="G291" s="2" t="n"/>
    </row>
    <row r="292">
      <c r="A292" s="2" t="n">
        <v>291</v>
      </c>
      <c r="B292" s="2" t="inlineStr">
        <is>
          <t>In-Transit and At-Rest Record Confidentiality and Integrity</t>
        </is>
      </c>
      <c r="C292" s="2" t="inlineStr">
        <is>
          <t>Access, Rights &amp; Retention</t>
        </is>
      </c>
      <c r="D292" s="2" t="inlineStr">
        <is>
          <t>§3.9.4 (Pass 116)</t>
        </is>
      </c>
      <c r="E292" s="2" t="inlineStr">
        <is>
          <t>Carry the integrity hash chain (§3.8.6) and the in-record safety classification and access-control list (§3.1) within the encoded blob across the storage boundary; under the zero-knowledge and key-custody provisions the encoded record is unreadable by the host store.</t>
        </is>
      </c>
      <c r="F292" s="2" t="inlineStr">
        <is>
          <t>Any store will hold the record and no store can read, reorder, or leak its meaning; database neutrality is preserved and strengthened.</t>
        </is>
      </c>
      <c r="G292" s="2" t="n"/>
    </row>
    <row r="293">
      <c r="A293" s="2" t="n">
        <v>292</v>
      </c>
      <c r="B293" s="2" t="inlineStr">
        <is>
          <t>Fact Unit Language</t>
        </is>
      </c>
      <c r="C293" s="2" t="inlineStr">
        <is>
          <t>Knowledge Substrate</t>
        </is>
      </c>
      <c r="D293" s="2" t="inlineStr">
        <is>
          <t>§3.10 (Pass 117) · Provisional claim 342</t>
        </is>
      </c>
      <c r="E293" s="2" t="inlineStr">
        <is>
          <t>Express every Fact Unit in a formal, language-independent assertion language whose vocabulary is the governed predicate catalogue, whose grammar is the record schema, and whose identity function is the semantic fingerprint; refuse a non-conforming candidate at admission.</t>
        </is>
      </c>
      <c r="F293" s="2" t="inlineStr">
        <is>
          <t>Two records asserting the same proposition in different natural languages are the same statement; retrieval, contradiction detection, and regeneration operate on the assertion language, not on natural-language text. Recited as provisional claim 342.</t>
        </is>
      </c>
      <c r="G293" s="2" t="n"/>
    </row>
    <row r="294">
      <c r="A294" s="2" t="n">
        <v>293</v>
      </c>
      <c r="B294" s="2" t="inlineStr">
        <is>
          <t>Contextual Value Models</t>
        </is>
      </c>
      <c r="C294" s="2" t="inlineStr">
        <is>
          <t>Interaction Surfaces</t>
        </is>
      </c>
      <c r="D294" s="2" t="inlineStr">
        <is>
          <t>§109.9 (Pass 118)</t>
        </is>
      </c>
      <c r="E294" s="2" t="inlineStr">
        <is>
          <t>Store cultural norms, social values, and ergonomic preferences as registered, versioned, provenance-carrying configuration records — declared, never inferred — that only the interpretive layer’s ergonomic, cultural, and social modulations read.</t>
        </is>
      </c>
      <c r="F294" s="2" t="inlineStr">
        <is>
          <t>A Contextual Value Model modulates expression only: it never widens or narrows scope, admits or excludes a record, alters a confidence value, or extends vocabulary, and is not a grounding source. It is distinct from a Fact Unit (a fact about a culture) and from a World-View Model concept; context proper is carried by the context lock.</t>
        </is>
      </c>
      <c r="G29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5" customWidth="1" min="1" max="1"/>
  </cols>
  <sheetData>
    <row r="1">
      <c r="A1" s="3" t="inlineStr">
        <is>
          <t>QueryBook Composite Feature Registry v65</t>
        </is>
      </c>
    </row>
    <row r="2">
      <c r="A2" s="2" t="inlineStr">
        <is>
          <t>Assembled September 6, 2026, from Composite Registry v64 plus the Contextual Value Models specification, adopted as Bible v2.1 Pass 118 (§109.9) upon the inventor’s direction to specify where cultural norms, social values, ergonomics, and context are stored.</t>
        </is>
      </c>
    </row>
    <row r="3">
      <c r="A3" s="2" t="inlineStr">
        <is>
          <t>Features: 293. Rows 1–279 canonical (Inventory v59). Row 280 Skill Inventory Layer (Pass 113). Rows 281–287 enhanced Fact Unit record field families (§3.8, Pass 115). Rows 288–291 record-fused encoding and database-neutral boundary (§3.9, Pass 116). Row 292 the Fact Unit Language (§3.10, Pass 117). Row 293 Contextual Value Models (§109.9, Pass 118) — registered configuration consumed by the interpretive layer, distinct from Fact Units and from World-View Model concepts. All additive.</t>
        </is>
      </c>
    </row>
    <row r="4">
      <c r="A4" s="2" t="inlineStr">
        <is>
          <t>Worked expressions: 229 — unchanged.</t>
        </is>
      </c>
    </row>
    <row r="5">
      <c r="A5" s="2" t="inlineStr">
        <is>
          <t>Claims: 354 (contiguous 1–354, 7 independent) — unchanged. Contextual Value Models is a where-stored specification and adds no claim; it enters Appendix A as feature 293.</t>
        </is>
      </c>
    </row>
    <row r="6">
      <c r="A6" s="2" t="inlineStr">
        <is>
          <t>Additive covenant: no feature removed. Covenant floor now 293 features / 354 claims. The previously-removed mandatory external fact-transport format and external fact-query language remain removed.</t>
        </is>
      </c>
    </row>
    <row r="7">
      <c r="A7" s="2" t="inlineStr">
        <is>
          <t>Canon of record: Bible v2.1 (Pass 118) · Provisional CONSOLIDATED v2.7 (Appendix A 293 features, claims 1–354) · Core Technology Overview v13 · Feature Inventory v59 · QueryBook Master Bible (Sept 1) · this Composite Registry v65.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2026-09-02T04:14:04Z</dcterms:created>
  <dcterms:modified xsi:type="dcterms:W3CDTF">2026-09-06T03:38:45Z</dcterms:modified>
</cp:coreProperties>
</file>