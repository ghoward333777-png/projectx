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Reference Numerals" sheetId="2" state="visible" r:id="rId4"/>
    <sheet name="Figures" sheetId="3" state="visible" r:id="rId5"/>
    <sheet name="Claims" sheetId="4" state="visible" r:id="rId6"/>
    <sheet name="Sections" sheetId="5" state="visible" r:id="rId7"/>
  </sheets>
  <definedNames>
    <definedName function="false" hidden="true" localSheetId="3" name="_xlnm._FilterDatabase" vbProcedure="false">Claims!$A$1:$F$109</definedName>
    <definedName function="false" hidden="true" localSheetId="2" name="_xlnm._FilterDatabase" vbProcedure="false">Figures!$A$1:$F$56</definedName>
    <definedName function="false" hidden="true" localSheetId="1" name="_xlnm._FilterDatabase" vbProcedure="false">'Reference Numerals'!$A$1:$E$416</definedName>
    <definedName function="false" hidden="true" localSheetId="4" name="_xlnm._FilterDatabase" vbProcedure="false">Sections!$A$1:$E$24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<sst xmlns="http://schemas.openxmlformats.org/spreadsheetml/2006/main" count="2902" uniqueCount="1189">
  <si>
    <t xml:space="preserve">QueryBook Provisional Patent Application — Registry</t>
  </si>
  <si>
    <t xml:space="preserve">Draft rev. October 8, 2026 (B), rebalanced QueryBook-first — not filed. Rows highlighted yellow on the other tabs are new in this revision.</t>
  </si>
  <si>
    <t xml:space="preserve">Balance by part</t>
  </si>
  <si>
    <t xml:space="preserve">Figures</t>
  </si>
  <si>
    <t xml:space="preserve">Claims</t>
  </si>
  <si>
    <t xml:space="preserve">Independent claims</t>
  </si>
  <si>
    <t xml:space="preserve">Sections</t>
  </si>
  <si>
    <t xml:space="preserve">Reference numerals</t>
  </si>
  <si>
    <t xml:space="preserve">A — Core platform</t>
  </si>
  <si>
    <t xml:space="preserve">B — Language &amp; speech</t>
  </si>
  <si>
    <t xml:space="preserve">C — Identity, audit, interpretation, lecture</t>
  </si>
  <si>
    <t xml:space="preserve">D — Further embodiments &amp; agent-era</t>
  </si>
  <si>
    <t xml:space="preserve">Total</t>
  </si>
  <si>
    <t xml:space="preserve">New in this revision</t>
  </si>
  <si>
    <t xml:space="preserve">Numeral-to-figure mapping is read from the drawing labels. Numerals 100 (the LEL system as a whole) and 990–993 (translator and language-detector elements) appear in the text and key but are not labelled on any drawing; they are counted under Part B.</t>
  </si>
  <si>
    <t xml:space="preserve">No.</t>
  </si>
  <si>
    <t xml:space="preserve">Element</t>
  </si>
  <si>
    <t xml:space="preserve">Shown in FIG.</t>
  </si>
  <si>
    <t xml:space="preserve">Part</t>
  </si>
  <si>
    <t xml:space="preserve">New in rev. 2026-10-08 (B)</t>
  </si>
  <si>
    <t xml:space="preserve">100</t>
  </si>
  <si>
    <t xml:space="preserve">QueryBook LEL system</t>
  </si>
  <si>
    <t xml:space="preserve">—</t>
  </si>
  <si>
    <t xml:space="preserve">No</t>
  </si>
  <si>
    <t xml:space="preserve">110</t>
  </si>
  <si>
    <t xml:space="preserve">Sub-Language Priming Layer (SLPL)</t>
  </si>
  <si>
    <t xml:space="preserve">23</t>
  </si>
  <si>
    <t xml:space="preserve">120</t>
  </si>
  <si>
    <t xml:space="preserve">Language Expression Layer (LEL)</t>
  </si>
  <si>
    <t xml:space="preserve">130</t>
  </si>
  <si>
    <t xml:space="preserve">Transition Gate</t>
  </si>
  <si>
    <t xml:space="preserve">140</t>
  </si>
  <si>
    <t xml:space="preserve">Phase Two semantic-communicative learning</t>
  </si>
  <si>
    <t xml:space="preserve">150</t>
  </si>
  <si>
    <t xml:space="preserve">Multilingual Delta Acquisition module</t>
  </si>
  <si>
    <t xml:space="preserve">160</t>
  </si>
  <si>
    <t xml:space="preserve">Speech Output Pipeline</t>
  </si>
  <si>
    <t xml:space="preserve">165</t>
  </si>
  <si>
    <t xml:space="preserve">natural speech output</t>
  </si>
  <si>
    <t xml:space="preserve">170</t>
  </si>
  <si>
    <t xml:space="preserve">co-grounding interface</t>
  </si>
  <si>
    <t xml:space="preserve">180</t>
  </si>
  <si>
    <t xml:space="preserve">Federated Query Language (FQL)</t>
  </si>
  <si>
    <t xml:space="preserve">190</t>
  </si>
  <si>
    <t xml:space="preserve">Universal Federated Connectivity System (UFCS)</t>
  </si>
  <si>
    <t xml:space="preserve">195</t>
  </si>
  <si>
    <t xml:space="preserve">federated data sources</t>
  </si>
  <si>
    <t xml:space="preserve">200</t>
  </si>
  <si>
    <t xml:space="preserve">SLPL</t>
  </si>
  <si>
    <t xml:space="preserve">24</t>
  </si>
  <si>
    <t xml:space="preserve">210</t>
  </si>
  <si>
    <t xml:space="preserve">acoustic phonetic processing</t>
  </si>
  <si>
    <t xml:space="preserve">211</t>
  </si>
  <si>
    <t xml:space="preserve">signal-level feature embedding</t>
  </si>
  <si>
    <t xml:space="preserve">220</t>
  </si>
  <si>
    <t xml:space="preserve">phonics / phonemic awareness</t>
  </si>
  <si>
    <t xml:space="preserve">221</t>
  </si>
  <si>
    <t xml:space="preserve">phoneme-boundary segmenter</t>
  </si>
  <si>
    <t xml:space="preserve">230</t>
  </si>
  <si>
    <t xml:space="preserve">communication-science foundations</t>
  </si>
  <si>
    <t xml:space="preserve">231</t>
  </si>
  <si>
    <t xml:space="preserve">communicative-salience weight</t>
  </si>
  <si>
    <t xml:space="preserve">240</t>
  </si>
  <si>
    <t xml:space="preserve">prosody &amp; rhythm processing</t>
  </si>
  <si>
    <t xml:space="preserve">241</t>
  </si>
  <si>
    <t xml:space="preserve">prosodic contour vector</t>
  </si>
  <si>
    <t xml:space="preserve">250</t>
  </si>
  <si>
    <t xml:space="preserve">information-theoretic grounding</t>
  </si>
  <si>
    <t xml:space="preserve">251</t>
  </si>
  <si>
    <t xml:space="preserve">information weighting</t>
  </si>
  <si>
    <t xml:space="preserve">260</t>
  </si>
  <si>
    <t xml:space="preserve">neurolinguistic chunking</t>
  </si>
  <si>
    <t xml:space="preserve">261</t>
  </si>
  <si>
    <t xml:space="preserve">chunk segments</t>
  </si>
  <si>
    <t xml:space="preserve">270</t>
  </si>
  <si>
    <t xml:space="preserve">licensed multimedia input</t>
  </si>
  <si>
    <t xml:space="preserve">300</t>
  </si>
  <si>
    <t xml:space="preserve">developmental learning sequence</t>
  </si>
  <si>
    <t xml:space="preserve">25</t>
  </si>
  <si>
    <t xml:space="preserve">310</t>
  </si>
  <si>
    <t xml:space="preserve">Phase One (structural-acoustic)</t>
  </si>
  <si>
    <t xml:space="preserve">311</t>
  </si>
  <si>
    <t xml:space="preserve">sound discrimination</t>
  </si>
  <si>
    <t xml:space="preserve">312</t>
  </si>
  <si>
    <t xml:space="preserve">syllabic segmentation</t>
  </si>
  <si>
    <t xml:space="preserve">313</t>
  </si>
  <si>
    <t xml:space="preserve">word-as-acoustic-object</t>
  </si>
  <si>
    <t xml:space="preserve">314</t>
  </si>
  <si>
    <t xml:space="preserve">semantics suppressed</t>
  </si>
  <si>
    <t xml:space="preserve">320</t>
  </si>
  <si>
    <t xml:space="preserve">Transition Gate (one-way)</t>
  </si>
  <si>
    <t xml:space="preserve">321</t>
  </si>
  <si>
    <t xml:space="preserve">phonemic-inventory completeness ≥ τ1</t>
  </si>
  <si>
    <t xml:space="preserve">322</t>
  </si>
  <si>
    <t xml:space="preserve">lexical stability ≥ τ2</t>
  </si>
  <si>
    <t xml:space="preserve">323</t>
  </si>
  <si>
    <t xml:space="preserve">co-occurrence density ≥ τ3</t>
  </si>
  <si>
    <t xml:space="preserve">324</t>
  </si>
  <si>
    <t xml:space="preserve">pattern saturation &lt; ε</t>
  </si>
  <si>
    <t xml:space="preserve">330</t>
  </si>
  <si>
    <t xml:space="preserve">Phase Two (semantic-communicative)</t>
  </si>
  <si>
    <t xml:space="preserve">331</t>
  </si>
  <si>
    <t xml:space="preserve">word-to-referent grounding</t>
  </si>
  <si>
    <t xml:space="preserve">332</t>
  </si>
  <si>
    <t xml:space="preserve">communicative discovery</t>
  </si>
  <si>
    <t xml:space="preserve">333</t>
  </si>
  <si>
    <t xml:space="preserve">emergent grammar / syntax</t>
  </si>
  <si>
    <t xml:space="preserve">400</t>
  </si>
  <si>
    <t xml:space="preserve">Delta Acquisition Model</t>
  </si>
  <si>
    <t xml:space="preserve">26</t>
  </si>
  <si>
    <t xml:space="preserve">410</t>
  </si>
  <si>
    <t xml:space="preserve">reused L1 foundation</t>
  </si>
  <si>
    <t xml:space="preserve">420</t>
  </si>
  <si>
    <t xml:space="preserve">L2 delta detector</t>
  </si>
  <si>
    <t xml:space="preserve">430</t>
  </si>
  <si>
    <t xml:space="preserve">targeted training of novel elements</t>
  </si>
  <si>
    <t xml:space="preserve">440</t>
  </si>
  <si>
    <t xml:space="preserve">multilingual semantic alignment</t>
  </si>
  <si>
    <t xml:space="preserve">450</t>
  </si>
  <si>
    <t xml:space="preserve">acquisition acceleration flywheel</t>
  </si>
  <si>
    <t xml:space="preserve">451</t>
  </si>
  <si>
    <t xml:space="preserve">negative-transfer detection &amp; retraining</t>
  </si>
  <si>
    <t xml:space="preserve">500</t>
  </si>
  <si>
    <t xml:space="preserve">27</t>
  </si>
  <si>
    <t xml:space="preserve">510</t>
  </si>
  <si>
    <t xml:space="preserve">lexical selection</t>
  </si>
  <si>
    <t xml:space="preserve">520</t>
  </si>
  <si>
    <t xml:space="preserve">grapheme-to-phoneme conversion</t>
  </si>
  <si>
    <t xml:space="preserve">530</t>
  </si>
  <si>
    <t xml:space="preserve">coarticulation modeling</t>
  </si>
  <si>
    <t xml:space="preserve">540</t>
  </si>
  <si>
    <t xml:space="preserve">prosody generation</t>
  </si>
  <si>
    <t xml:space="preserve">550</t>
  </si>
  <si>
    <t xml:space="preserve">register &amp; affect calibration</t>
  </si>
  <si>
    <t xml:space="preserve">560</t>
  </si>
  <si>
    <t xml:space="preserve">self-monitoring feedback loop</t>
  </si>
  <si>
    <t xml:space="preserve">570</t>
  </si>
  <si>
    <t xml:space="preserve">neural vocoder rendering</t>
  </si>
  <si>
    <t xml:space="preserve">580</t>
  </si>
  <si>
    <t xml:space="preserve">natural speech waveform</t>
  </si>
  <si>
    <t xml:space="preserve">600</t>
  </si>
  <si>
    <t xml:space="preserve">co-grounded integration</t>
  </si>
  <si>
    <t xml:space="preserve">28</t>
  </si>
  <si>
    <t xml:space="preserve">610</t>
  </si>
  <si>
    <t xml:space="preserve">natural-language input</t>
  </si>
  <si>
    <t xml:space="preserve">620</t>
  </si>
  <si>
    <t xml:space="preserve">LEL analysis</t>
  </si>
  <si>
    <t xml:space="preserve">630</t>
  </si>
  <si>
    <t xml:space="preserve">FQL operations</t>
  </si>
  <si>
    <t xml:space="preserve">640</t>
  </si>
  <si>
    <t xml:space="preserve">UFCS execution</t>
  </si>
  <si>
    <t xml:space="preserve">650</t>
  </si>
  <si>
    <t xml:space="preserve">federated sources</t>
  </si>
  <si>
    <t xml:space="preserve">660</t>
  </si>
  <si>
    <t xml:space="preserve">results</t>
  </si>
  <si>
    <t xml:space="preserve">670</t>
  </si>
  <si>
    <t xml:space="preserve">render to NL / speech in input language</t>
  </si>
  <si>
    <t xml:space="preserve">680</t>
  </si>
  <si>
    <t xml:space="preserve">language-agnostic resolution</t>
  </si>
  <si>
    <t xml:space="preserve">700</t>
  </si>
  <si>
    <t xml:space="preserve">Language Lab prototype embodiment</t>
  </si>
  <si>
    <t xml:space="preserve">29</t>
  </si>
  <si>
    <t xml:space="preserve">710</t>
  </si>
  <si>
    <t xml:space="preserve">corpus source</t>
  </si>
  <si>
    <t xml:space="preserve">720</t>
  </si>
  <si>
    <t xml:space="preserve">Phase-One structural agent</t>
  </si>
  <si>
    <t xml:space="preserve">730</t>
  </si>
  <si>
    <t xml:space="preserve">structural analyzer</t>
  </si>
  <si>
    <t xml:space="preserve">731</t>
  </si>
  <si>
    <t xml:space="preserve">grapheme inventory</t>
  </si>
  <si>
    <t xml:space="preserve">732</t>
  </si>
  <si>
    <t xml:space="preserve">rule-seeded G2P</t>
  </si>
  <si>
    <t xml:space="preserve">733</t>
  </si>
  <si>
    <t xml:space="preserve">syllabifier</t>
  </si>
  <si>
    <t xml:space="preserve">734</t>
  </si>
  <si>
    <t xml:space="preserve">lexical-stability metric</t>
  </si>
  <si>
    <t xml:space="preserve">735</t>
  </si>
  <si>
    <t xml:space="preserve">co-occurrence density metric</t>
  </si>
  <si>
    <t xml:space="preserve">736</t>
  </si>
  <si>
    <t xml:space="preserve">prosody proxy</t>
  </si>
  <si>
    <t xml:space="preserve">740</t>
  </si>
  <si>
    <t xml:space="preserve">Fact Unit store</t>
  </si>
  <si>
    <t xml:space="preserve">750</t>
  </si>
  <si>
    <t xml:space="preserve">Transition-Gate metrics</t>
  </si>
  <si>
    <t xml:space="preserve">751</t>
  </si>
  <si>
    <t xml:space="preserve">one-way latch</t>
  </si>
  <si>
    <t xml:space="preserve">760</t>
  </si>
  <si>
    <t xml:space="preserve">phase agents on shared manager</t>
  </si>
  <si>
    <t xml:space="preserve">761</t>
  </si>
  <si>
    <t xml:space="preserve">Phase-1 agent (implemented)</t>
  </si>
  <si>
    <t xml:space="preserve">762</t>
  </si>
  <si>
    <t xml:space="preserve">Phase-2 agent — deterministic dictionary + store grounding (implemented)</t>
  </si>
  <si>
    <t xml:space="preserve">763</t>
  </si>
  <si>
    <t xml:space="preserve">Phase-3 agent (declines — spec-only)</t>
  </si>
  <si>
    <t xml:space="preserve">764</t>
  </si>
  <si>
    <t xml:space="preserve">Phase-4 agent (declines — spec-only)</t>
  </si>
  <si>
    <t xml:space="preserve">800</t>
  </si>
  <si>
    <t xml:space="preserve">deterministic Phase-Two semantic grounding</t>
  </si>
  <si>
    <t xml:space="preserve">30</t>
  </si>
  <si>
    <t xml:space="preserve">810</t>
  </si>
  <si>
    <t xml:space="preserve">Phase-One vocabulary (learned words)</t>
  </si>
  <si>
    <t xml:space="preserve">820</t>
  </si>
  <si>
    <t xml:space="preserve">deterministic grounder (per word)</t>
  </si>
  <si>
    <t xml:space="preserve">830</t>
  </si>
  <si>
    <t xml:space="preserve">bundled public-domain dictionary source</t>
  </si>
  <si>
    <t xml:space="preserve">831</t>
  </si>
  <si>
    <t xml:space="preserve">dictionary meaning Fact Unit (means, trust 0.9)</t>
  </si>
  <si>
    <t xml:space="preserve">840</t>
  </si>
  <si>
    <t xml:space="preserve">self-grounding store-lookup source</t>
  </si>
  <si>
    <t xml:space="preserve">841</t>
  </si>
  <si>
    <t xml:space="preserve">store-link Fact Unit (grounded_by_fact)</t>
  </si>
  <si>
    <t xml:space="preserve">850</t>
  </si>
  <si>
    <t xml:space="preserve">Fact Unit store (provenance, domain language)</t>
  </si>
  <si>
    <t xml:space="preserve">860</t>
  </si>
  <si>
    <t xml:space="preserve">excluded large-language-model meaning source</t>
  </si>
  <si>
    <t xml:space="preserve">870</t>
  </si>
  <si>
    <t xml:space="preserve">optional future dictionary-gated suggestor</t>
  </si>
  <si>
    <t xml:space="preserve">900</t>
  </si>
  <si>
    <t xml:space="preserve">advanced multilingual pronunciation subsystem</t>
  </si>
  <si>
    <t xml:space="preserve">31</t>
  </si>
  <si>
    <t xml:space="preserve">910</t>
  </si>
  <si>
    <t xml:space="preserve">pronunciation request (word/phrase, language)</t>
  </si>
  <si>
    <t xml:space="preserve">920</t>
  </si>
  <si>
    <t xml:space="preserve">pronunciation preference-ladder selector</t>
  </si>
  <si>
    <t xml:space="preserve">930</t>
  </si>
  <si>
    <t xml:space="preserve">bundled open-source phonemizer</t>
  </si>
  <si>
    <t xml:space="preserve">931</t>
  </si>
  <si>
    <t xml:space="preserve">phonemizer IPA transcription</t>
  </si>
  <si>
    <t xml:space="preserve">932</t>
  </si>
  <si>
    <t xml:space="preserve">phonemizer call cache</t>
  </si>
  <si>
    <t xml:space="preserve">933</t>
  </si>
  <si>
    <t xml:space="preserve">bounded call log / timeout guard</t>
  </si>
  <si>
    <t xml:space="preserve">940</t>
  </si>
  <si>
    <t xml:space="preserve">rule-seeded G2P tables (per language)</t>
  </si>
  <si>
    <t xml:space="preserve">941</t>
  </si>
  <si>
    <t xml:space="preserve">approximate rule-seeded IPA (offline)</t>
  </si>
  <si>
    <t xml:space="preserve">950</t>
  </si>
  <si>
    <t xml:space="preserve">syllable count + primary-stress derivation</t>
  </si>
  <si>
    <t xml:space="preserve">960</t>
  </si>
  <si>
    <t xml:space="preserve">explicit null result (not fabricated)</t>
  </si>
  <si>
    <t xml:space="preserve">970</t>
  </si>
  <si>
    <t xml:space="preserve">phrase-level single-call transcription</t>
  </si>
  <si>
    <t xml:space="preserve">971</t>
  </si>
  <si>
    <t xml:space="preserve">displayed transcription consistent with synthesized audio</t>
  </si>
  <si>
    <t xml:space="preserve">980</t>
  </si>
  <si>
    <t xml:space="preserve">self-contained application bundle</t>
  </si>
  <si>
    <t xml:space="preserve">981</t>
  </si>
  <si>
    <t xml:space="preserve">bundled open-source speech engine</t>
  </si>
  <si>
    <t xml:space="preserve">982</t>
  </si>
  <si>
    <t xml:space="preserve">runtime-support libraries</t>
  </si>
  <si>
    <t xml:space="preserve">983</t>
  </si>
  <si>
    <t xml:space="preserve">bundled phoneme data</t>
  </si>
  <si>
    <t xml:space="preserve">984</t>
  </si>
  <si>
    <t xml:space="preserve">engine-selection ladder (per OS / language)</t>
  </si>
  <si>
    <t xml:space="preserve">985</t>
  </si>
  <si>
    <t xml:space="preserve">host OS built-in voice service</t>
  </si>
  <si>
    <t xml:space="preserve">986</t>
  </si>
  <si>
    <t xml:space="preserve">culture-matched OS voice (when installed)</t>
  </si>
  <si>
    <t xml:space="preserve">987</t>
  </si>
  <si>
    <t xml:space="preserve">honest refusal with remedy (no fabricated audio)</t>
  </si>
  <si>
    <t xml:space="preserve">990</t>
  </si>
  <si>
    <t xml:space="preserve">deterministic translator (through English)</t>
  </si>
  <si>
    <t xml:space="preserve">991</t>
  </si>
  <si>
    <t xml:space="preserve">bundled open-source bilingual dictionary</t>
  </si>
  <si>
    <t xml:space="preserve">992</t>
  </si>
  <si>
    <t xml:space="preserve">coverage accounting + unknown-word passthrough (flagged)</t>
  </si>
  <si>
    <t xml:space="preserve">993</t>
  </si>
  <si>
    <t xml:space="preserve">deterministic language detector</t>
  </si>
  <si>
    <t xml:space="preserve">995</t>
  </si>
  <si>
    <t xml:space="preserve">permanent quality-control battery</t>
  </si>
  <si>
    <t xml:space="preserve">32</t>
  </si>
  <si>
    <t xml:space="preserve">996</t>
  </si>
  <si>
    <t xml:space="preserve">IPA-produced check</t>
  </si>
  <si>
    <t xml:space="preserve">997</t>
  </si>
  <si>
    <t xml:space="preserve">syllable-sanity check (±1)</t>
  </si>
  <si>
    <t xml:space="preserve">998</t>
  </si>
  <si>
    <t xml:space="preserve">valid-waveform synthesis check</t>
  </si>
  <si>
    <t xml:space="preserve">999</t>
  </si>
  <si>
    <t xml:space="preserve">per-language QC report + overall pass score</t>
  </si>
  <si>
    <t xml:space="preserve">1000</t>
  </si>
  <si>
    <t xml:space="preserve">LIL voiceprint &amp; identity subsystem</t>
  </si>
  <si>
    <t xml:space="preserve">33</t>
  </si>
  <si>
    <t xml:space="preserve">1001</t>
  </si>
  <si>
    <t xml:space="preserve">consent gate (precondition)</t>
  </si>
  <si>
    <t xml:space="preserve">1002</t>
  </si>
  <si>
    <t xml:space="preserve">audio/video capture + VAD/segmentation</t>
  </si>
  <si>
    <t xml:space="preserve">1003</t>
  </si>
  <si>
    <t xml:space="preserve">acoustic feature extraction</t>
  </si>
  <si>
    <t xml:space="preserve">1004</t>
  </si>
  <si>
    <t xml:space="preserve">speaker embedding (voiceprint vector)</t>
  </si>
  <si>
    <t xml:space="preserve">1005</t>
  </si>
  <si>
    <t xml:space="preserve">enrollment — canonical voiceprint</t>
  </si>
  <si>
    <t xml:space="preserve">1006</t>
  </si>
  <si>
    <t xml:space="preserve">match / score (cosine · PLDA)</t>
  </si>
  <si>
    <t xml:space="preserve">1007</t>
  </si>
  <si>
    <t xml:space="preserve">QueryBook trust gate (VERIFIED/CONTRADICTED/UNKNOWN)</t>
  </si>
  <si>
    <t xml:space="preserve">1008</t>
  </si>
  <si>
    <t xml:space="preserve">Fact-Unit identity graph</t>
  </si>
  <si>
    <t xml:space="preserve">1009</t>
  </si>
  <si>
    <t xml:space="preserve">LEL cross-script name/entity resolution</t>
  </si>
  <si>
    <t xml:space="preserve">1010</t>
  </si>
  <si>
    <t xml:space="preserve">provenance-tracked link Fact Unit</t>
  </si>
  <si>
    <t xml:space="preserve">1020</t>
  </si>
  <si>
    <t xml:space="preserve">voice authentication request</t>
  </si>
  <si>
    <t xml:space="preserve">34</t>
  </si>
  <si>
    <t xml:space="preserve">1021</t>
  </si>
  <si>
    <t xml:space="preserve">capture phrase + embed</t>
  </si>
  <si>
    <t xml:space="preserve">1022</t>
  </si>
  <si>
    <t xml:space="preserve">anti-spoofing (liveness/replay/synthetic)</t>
  </si>
  <si>
    <t xml:space="preserve">1023</t>
  </si>
  <si>
    <t xml:space="preserve">deterministic risk-scoring policy</t>
  </si>
  <si>
    <t xml:space="preserve">1024</t>
  </si>
  <si>
    <t xml:space="preserve">authentication decision gate</t>
  </si>
  <si>
    <t xml:space="preserve">1025</t>
  </si>
  <si>
    <t xml:space="preserve">second-factor challenge</t>
  </si>
  <si>
    <t xml:space="preserve">1026</t>
  </si>
  <si>
    <t xml:space="preserve">auth-event Fact Unit (provenance)</t>
  </si>
  <si>
    <t xml:space="preserve">1100</t>
  </si>
  <si>
    <t xml:space="preserve">UIAS integrity audit service</t>
  </si>
  <si>
    <t xml:space="preserve">35</t>
  </si>
  <si>
    <t xml:space="preserve">1101</t>
  </si>
  <si>
    <t xml:space="preserve">monitored system workflow (unmodified)</t>
  </si>
  <si>
    <t xml:space="preserve">1102</t>
  </si>
  <si>
    <t xml:space="preserve">input-boundary position</t>
  </si>
  <si>
    <t xml:space="preserve">1103</t>
  </si>
  <si>
    <t xml:space="preserve">processing-layer position</t>
  </si>
  <si>
    <t xml:space="preserve">1104</t>
  </si>
  <si>
    <t xml:space="preserve">storage-layer position</t>
  </si>
  <si>
    <t xml:space="preserve">1105</t>
  </si>
  <si>
    <t xml:space="preserve">output-boundary / handoff position</t>
  </si>
  <si>
    <t xml:space="preserve">1106</t>
  </si>
  <si>
    <t xml:space="preserve">Connector + Ingestion agents (seal at observation)</t>
  </si>
  <si>
    <t xml:space="preserve">1107</t>
  </si>
  <si>
    <t xml:space="preserve">seal = Fact Unit (hash · id-hash · independent timestamp · source · agent)</t>
  </si>
  <si>
    <t xml:space="preserve">1108</t>
  </si>
  <si>
    <t xml:space="preserve">Similarity Detection Agent (semantic signatures)</t>
  </si>
  <si>
    <t xml:space="preserve">1109</t>
  </si>
  <si>
    <t xml:space="preserve">Fact-Unit audit ledger (UFCS, append-only, immutable)</t>
  </si>
  <si>
    <t xml:space="preserve">1110</t>
  </si>
  <si>
    <t xml:space="preserve">contemporaneous cross-party anomaly flag</t>
  </si>
  <si>
    <t xml:space="preserve">1111</t>
  </si>
  <si>
    <t xml:space="preserve">Verification Agent (continuous re-verification)</t>
  </si>
  <si>
    <t xml:space="preserve">1112</t>
  </si>
  <si>
    <t xml:space="preserve">content-not-stored / one-way identity (fact-level erasure)</t>
  </si>
  <si>
    <t xml:space="preserve">1120</t>
  </si>
  <si>
    <t xml:space="preserve">UIAS signed Proof Package generation</t>
  </si>
  <si>
    <t xml:space="preserve">36</t>
  </si>
  <si>
    <t xml:space="preserve">1121</t>
  </si>
  <si>
    <t xml:space="preserve">accusation / inquiry</t>
  </si>
  <si>
    <t xml:space="preserve">1122</t>
  </si>
  <si>
    <t xml:space="preserve">Proof Package Agent</t>
  </si>
  <si>
    <t xml:space="preserve">1123</t>
  </si>
  <si>
    <t xml:space="preserve">sealed Fact Units + verified seals</t>
  </si>
  <si>
    <t xml:space="preserve">1124</t>
  </si>
  <si>
    <t xml:space="preserve">cross-submission similarity log entry</t>
  </si>
  <si>
    <t xml:space="preserve">1125</t>
  </si>
  <si>
    <t xml:space="preserve">chronological ledger extract (RPH)</t>
  </si>
  <si>
    <t xml:space="preserve">1126</t>
  </si>
  <si>
    <t xml:space="preserve">Arbitration Agent (factual determination; Prime-Directive gate)</t>
  </si>
  <si>
    <t xml:space="preserve">1127</t>
  </si>
  <si>
    <t xml:space="preserve">assemble + sign under UIAS independent identity</t>
  </si>
  <si>
    <t xml:space="preserve">1128</t>
  </si>
  <si>
    <t xml:space="preserve">signed Proof Package</t>
  </si>
  <si>
    <t xml:space="preserve">1129</t>
  </si>
  <si>
    <t xml:space="preserve">factual-only determination (legal reserved to courts/regulators)</t>
  </si>
  <si>
    <t xml:space="preserve">1200</t>
  </si>
  <si>
    <t xml:space="preserve">PIL paralinguistic &amp; pragmatic interpretation</t>
  </si>
  <si>
    <t xml:space="preserve">37</t>
  </si>
  <si>
    <t xml:space="preserve">1201</t>
  </si>
  <si>
    <t xml:space="preserve">ingested voice (consent-gated)</t>
  </si>
  <si>
    <t xml:space="preserve">1202</t>
  </si>
  <si>
    <t xml:space="preserve">transcription (words)</t>
  </si>
  <si>
    <t xml:space="preserve">1203</t>
  </si>
  <si>
    <t xml:space="preserve">Paralinguistic Analyzer (measured)</t>
  </si>
  <si>
    <t xml:space="preserve">1204</t>
  </si>
  <si>
    <t xml:space="preserve">tone/loudness/pacing/emphasis + labeled arousal estimate</t>
  </si>
  <si>
    <t xml:space="preserve">1205</t>
  </si>
  <si>
    <t xml:space="preserve">Pragmatic Framer (sourced)</t>
  </si>
  <si>
    <t xml:space="preserve">1206</t>
  </si>
  <si>
    <t xml:space="preserve">context · perspective · ergonomics · culture · social mores</t>
  </si>
  <si>
    <t xml:space="preserve">1207</t>
  </si>
  <si>
    <t xml:space="preserve">Interpretation Frame (labeled estimates + sourced frames)</t>
  </si>
  <si>
    <t xml:space="preserve">1208</t>
  </si>
  <si>
    <t xml:space="preserve">Fact Units on ingested content</t>
  </si>
  <si>
    <t xml:space="preserve">1209</t>
  </si>
  <si>
    <t xml:space="preserve">covenant: estimates not asserted; frames sourced; consent</t>
  </si>
  <si>
    <t xml:space="preserve">1210</t>
  </si>
  <si>
    <t xml:space="preserve">PIL human query interpretation</t>
  </si>
  <si>
    <t xml:space="preserve">38</t>
  </si>
  <si>
    <t xml:space="preserve">1211</t>
  </si>
  <si>
    <t xml:space="preserve">human query (typed/spoken)</t>
  </si>
  <si>
    <t xml:space="preserve">1212</t>
  </si>
  <si>
    <t xml:space="preserve">Interpretation Frame (para + pragmatic)</t>
  </si>
  <si>
    <t xml:space="preserve">1213</t>
  </si>
  <si>
    <t xml:space="preserve">intent disambiguation (context/perspective)</t>
  </si>
  <si>
    <t xml:space="preserve">1214</t>
  </si>
  <si>
    <t xml:space="preserve">ambiguity gate</t>
  </si>
  <si>
    <t xml:space="preserve">1215</t>
  </si>
  <si>
    <t xml:space="preserve">ask one clarifying question / stop</t>
  </si>
  <si>
    <t xml:space="preserve">1216</t>
  </si>
  <si>
    <t xml:space="preserve">register &amp; ergonomic mode selector</t>
  </si>
  <si>
    <t xml:space="preserve">1217</t>
  </si>
  <si>
    <t xml:space="preserve">culture/mores/ergonomics packs</t>
  </si>
  <si>
    <t xml:space="preserve">1218</t>
  </si>
  <si>
    <t xml:space="preserve">retrieve-gate-compose (verified Fact Units; cite or refuse)</t>
  </si>
  <si>
    <t xml:space="preserve">1219</t>
  </si>
  <si>
    <t xml:space="preserve">answer in selected register/mode (facts unchanged)</t>
  </si>
  <si>
    <t xml:space="preserve">1300</t>
  </si>
  <si>
    <t xml:space="preserve">Lecture Query ingestion pipeline</t>
  </si>
  <si>
    <t xml:space="preserve">39</t>
  </si>
  <si>
    <t xml:space="preserve">1301</t>
  </si>
  <si>
    <t xml:space="preserve">live or recorded audio/video program</t>
  </si>
  <si>
    <t xml:space="preserve">1302</t>
  </si>
  <si>
    <t xml:space="preserve">capture + consent gate</t>
  </si>
  <si>
    <t xml:space="preserve">1303</t>
  </si>
  <si>
    <t xml:space="preserve">ASR transcription + diarization (untrusted input)</t>
  </si>
  <si>
    <t xml:space="preserve">1304</t>
  </si>
  <si>
    <t xml:space="preserve">video frames → faces (LIL)</t>
  </si>
  <si>
    <t xml:space="preserve">1305</t>
  </si>
  <si>
    <t xml:space="preserve">PIL analysis over time (tone/pacing/arousal + frame)</t>
  </si>
  <si>
    <t xml:space="preserve">1306</t>
  </si>
  <si>
    <t xml:space="preserve">LEL segment/structure/extract claims</t>
  </si>
  <si>
    <t xml:space="preserve">1307</t>
  </si>
  <si>
    <t xml:space="preserve">deterministic summary (TOC/key points/claims)</t>
  </si>
  <si>
    <t xml:space="preserve">1308</t>
  </si>
  <si>
    <t xml:space="preserve">ingest → Lecture Record; claims = attributed utterance facts</t>
  </si>
  <si>
    <t xml:space="preserve">1309</t>
  </si>
  <si>
    <t xml:space="preserve">forever-link: speaker/venue/event/org/date (immutable, trust-gated)</t>
  </si>
  <si>
    <t xml:space="preserve">1310</t>
  </si>
  <si>
    <t xml:space="preserve">forever-linked Lecture Record (queryable)</t>
  </si>
  <si>
    <t xml:space="preserve">40</t>
  </si>
  <si>
    <t xml:space="preserve">1311</t>
  </si>
  <si>
    <t xml:space="preserve">Lecture Record (content-addressed)</t>
  </si>
  <si>
    <t xml:space="preserve">1312</t>
  </si>
  <si>
    <t xml:space="preserve">speaker entity (LIL voiceprint/face)</t>
  </si>
  <si>
    <t xml:space="preserve">1313</t>
  </si>
  <si>
    <t xml:space="preserve">venue entity</t>
  </si>
  <si>
    <t xml:space="preserve">1314</t>
  </si>
  <si>
    <t xml:space="preserve">event entity</t>
  </si>
  <si>
    <t xml:space="preserve">1315</t>
  </si>
  <si>
    <t xml:space="preserve">organization + date</t>
  </si>
  <si>
    <t xml:space="preserve">1316</t>
  </si>
  <si>
    <t xml:space="preserve">transcript + diarization</t>
  </si>
  <si>
    <t xml:space="preserve">1317</t>
  </si>
  <si>
    <t xml:space="preserve">PIL track (tone/pacing over time)</t>
  </si>
  <si>
    <t xml:space="preserve">1318</t>
  </si>
  <si>
    <t xml:space="preserve">attributed claims → corroborated/contradicted/open</t>
  </si>
  <si>
    <t xml:space="preserve">1319</t>
  </si>
  <si>
    <t xml:space="preserve">FQL / Q&amp;A over the record</t>
  </si>
  <si>
    <t xml:space="preserve">1320</t>
  </si>
  <si>
    <t xml:space="preserve">answer: cited, attributed, refused where unknown</t>
  </si>
  <si>
    <t xml:space="preserve">4800</t>
  </si>
  <si>
    <t xml:space="preserve">cited Q&amp;A / ChatBot application</t>
  </si>
  <si>
    <t xml:space="preserve">48</t>
  </si>
  <si>
    <t xml:space="preserve">4801</t>
  </si>
  <si>
    <t xml:space="preserve">user question (typed/spoken)</t>
  </si>
  <si>
    <t xml:space="preserve">4810</t>
  </si>
  <si>
    <t xml:space="preserve">query interpretation (intent/register)</t>
  </si>
  <si>
    <t xml:space="preserve">4820</t>
  </si>
  <si>
    <t xml:space="preserve">FQL retrieval over verified Fact Units</t>
  </si>
  <si>
    <t xml:space="preserve">4830</t>
  </si>
  <si>
    <t xml:space="preserve">Prime-Directive gate (evidence sufficiency)</t>
  </si>
  <si>
    <t xml:space="preserve">4840</t>
  </si>
  <si>
    <t xml:space="preserve">composed answer with per-fact citations</t>
  </si>
  <si>
    <t xml:space="preserve">4841</t>
  </si>
  <si>
    <t xml:space="preserve">honest UNKNOWN (refuse, never guess)</t>
  </si>
  <si>
    <t xml:space="preserve">4850</t>
  </si>
  <si>
    <t xml:space="preserve">ChatBot/assistant delivery surface</t>
  </si>
  <si>
    <t xml:space="preserve">4860</t>
  </si>
  <si>
    <t xml:space="preserve">citation-or-UNKNOWN covenant held end to end</t>
  </si>
  <si>
    <t xml:space="preserve">4900</t>
  </si>
  <si>
    <t xml:space="preserve">invariant QueryBook core</t>
  </si>
  <si>
    <t xml:space="preserve">49</t>
  </si>
  <si>
    <t xml:space="preserve">4910</t>
  </si>
  <si>
    <t xml:space="preserve">on-device eBook/document Q&amp;A (micro-encapsulated)</t>
  </si>
  <si>
    <t xml:space="preserve">4920</t>
  </si>
  <si>
    <t xml:space="preserve">SaaS / API service surface</t>
  </si>
  <si>
    <t xml:space="preserve">4930</t>
  </si>
  <si>
    <t xml:space="preserve">Fact-Unit compressed search engine</t>
  </si>
  <si>
    <t xml:space="preserve">4940</t>
  </si>
  <si>
    <t xml:space="preserve">deterministic LLM-hybrid adjunct (gated suggestor)</t>
  </si>
  <si>
    <t xml:space="preserve">4950</t>
  </si>
  <si>
    <t xml:space="preserve">private/offline analysis deployment</t>
  </si>
  <si>
    <t xml:space="preserve">4960</t>
  </si>
  <si>
    <t xml:space="preserve">all surfaces inherit the governed-fact contract</t>
  </si>
  <si>
    <t xml:space="preserve">5000</t>
  </si>
  <si>
    <t xml:space="preserve">artifact of any format</t>
  </si>
  <si>
    <t xml:space="preserve">50</t>
  </si>
  <si>
    <t xml:space="preserve">5010</t>
  </si>
  <si>
    <t xml:space="preserve">content-based format detection</t>
  </si>
  <si>
    <t xml:space="preserve">5020</t>
  </si>
  <si>
    <t xml:space="preserve">Artifact Segmenter (segments + locators)</t>
  </si>
  <si>
    <t xml:space="preserve">5025</t>
  </si>
  <si>
    <t xml:space="preserve">executables described, never executed</t>
  </si>
  <si>
    <t xml:space="preserve">5040</t>
  </si>
  <si>
    <t xml:space="preserve">instruction-like content screen</t>
  </si>
  <si>
    <t xml:space="preserve">5050</t>
  </si>
  <si>
    <t xml:space="preserve">OpenClaw Interpreter</t>
  </si>
  <si>
    <t xml:space="preserve">5051</t>
  </si>
  <si>
    <t xml:space="preserve">artifact-description records</t>
  </si>
  <si>
    <t xml:space="preserve">5052</t>
  </si>
  <si>
    <t xml:space="preserve">structured records</t>
  </si>
  <si>
    <t xml:space="preserve">5053</t>
  </si>
  <si>
    <t xml:space="preserve">passages and extracted claims</t>
  </si>
  <si>
    <t xml:space="preserve">5060</t>
  </si>
  <si>
    <t xml:space="preserve">flagged segments (untrusted, below answer threshold)</t>
  </si>
  <si>
    <t xml:space="preserve">5070</t>
  </si>
  <si>
    <t xml:space="preserve">archive bounds (depth, members, size, ratio)</t>
  </si>
  <si>
    <t xml:space="preserve">5080</t>
  </si>
  <si>
    <t xml:space="preserve">agent path requests confined to inbox</t>
  </si>
  <si>
    <t xml:space="preserve">5090</t>
  </si>
  <si>
    <t xml:space="preserve">provenance seal (hash-chained ledger)</t>
  </si>
  <si>
    <t xml:space="preserve">5095</t>
  </si>
  <si>
    <t xml:space="preserve">5100</t>
  </si>
  <si>
    <t xml:space="preserve">local provenance seal</t>
  </si>
  <si>
    <t xml:space="preserve">51</t>
  </si>
  <si>
    <t xml:space="preserve">5110</t>
  </si>
  <si>
    <t xml:space="preserve">QueryBook knowledge object</t>
  </si>
  <si>
    <t xml:space="preserve">5120</t>
  </si>
  <si>
    <t xml:space="preserve">content hash + on-chain metadata</t>
  </si>
  <si>
    <t xml:space="preserve">5140</t>
  </si>
  <si>
    <t xml:space="preserve">in-system transaction signer</t>
  </si>
  <si>
    <t xml:space="preserve">5150</t>
  </si>
  <si>
    <t xml:space="preserve">network guard</t>
  </si>
  <si>
    <t xml:space="preserve">5160</t>
  </si>
  <si>
    <t xml:space="preserve">certificate contract (one token per hash, lineage, revocation)</t>
  </si>
  <si>
    <t xml:space="preserve">5170</t>
  </si>
  <si>
    <t xml:space="preserve">public blockchain</t>
  </si>
  <si>
    <t xml:space="preserve">5180</t>
  </si>
  <si>
    <t xml:space="preserve">independent verifier</t>
  </si>
  <si>
    <t xml:space="preserve">5190</t>
  </si>
  <si>
    <t xml:space="preserve">licence check</t>
  </si>
  <si>
    <t xml:space="preserve">5200</t>
  </si>
  <si>
    <t xml:space="preserve">caller (agent, MCP, HTTP)</t>
  </si>
  <si>
    <t xml:space="preserve">52</t>
  </si>
  <si>
    <t xml:space="preserve">5210</t>
  </si>
  <si>
    <t xml:space="preserve">HTTP gate (honeypages, tokens)</t>
  </si>
  <si>
    <t xml:space="preserve">5220</t>
  </si>
  <si>
    <t xml:space="preserve">Agent Gateway</t>
  </si>
  <si>
    <t xml:space="preserve">52, 54</t>
  </si>
  <si>
    <t xml:space="preserve">5230</t>
  </si>
  <si>
    <t xml:space="preserve">deception check</t>
  </si>
  <si>
    <t xml:space="preserve">5231</t>
  </si>
  <si>
    <t xml:space="preserve">honeycode</t>
  </si>
  <si>
    <t xml:space="preserve">5232</t>
  </si>
  <si>
    <t xml:space="preserve">honeytokens</t>
  </si>
  <si>
    <t xml:space="preserve">5233</t>
  </si>
  <si>
    <t xml:space="preserve">tripwires</t>
  </si>
  <si>
    <t xml:space="preserve">5234</t>
  </si>
  <si>
    <t xml:space="preserve">honeypot agents</t>
  </si>
  <si>
    <t xml:space="preserve">5240</t>
  </si>
  <si>
    <t xml:space="preserve">AI-aware firewall</t>
  </si>
  <si>
    <t xml:space="preserve">5241</t>
  </si>
  <si>
    <t xml:space="preserve">anomaly detector</t>
  </si>
  <si>
    <t xml:space="preserve">5250</t>
  </si>
  <si>
    <t xml:space="preserve">security event bus</t>
  </si>
  <si>
    <t xml:space="preserve">5260</t>
  </si>
  <si>
    <t xml:space="preserve">isolation register</t>
  </si>
  <si>
    <t xml:space="preserve">5261</t>
  </si>
  <si>
    <t xml:space="preserve">operator-only release</t>
  </si>
  <si>
    <t xml:space="preserve">5270</t>
  </si>
  <si>
    <t xml:space="preserve">decoy environment</t>
  </si>
  <si>
    <t xml:space="preserve">5280</t>
  </si>
  <si>
    <t xml:space="preserve">engagement recorder</t>
  </si>
  <si>
    <t xml:space="preserve">5290</t>
  </si>
  <si>
    <t xml:space="preserve">production handlers</t>
  </si>
  <si>
    <t xml:space="preserve">5295</t>
  </si>
  <si>
    <t xml:space="preserve">decision written to security record</t>
  </si>
  <si>
    <t xml:space="preserve">5300</t>
  </si>
  <si>
    <t xml:space="preserve">security decision</t>
  </si>
  <si>
    <t xml:space="preserve">53</t>
  </si>
  <si>
    <t xml:space="preserve">5310</t>
  </si>
  <si>
    <t xml:space="preserve">append-only entry</t>
  </si>
  <si>
    <t xml:space="preserve">5320</t>
  </si>
  <si>
    <t xml:space="preserve">hash chain</t>
  </si>
  <si>
    <t xml:space="preserve">5330</t>
  </si>
  <si>
    <t xml:space="preserve">Merkle checkpoint</t>
  </si>
  <si>
    <t xml:space="preserve">5340</t>
  </si>
  <si>
    <t xml:space="preserve">mirror on a second device</t>
  </si>
  <si>
    <t xml:space="preserve">5350</t>
  </si>
  <si>
    <t xml:space="preserve">blockchain anchor of checkpoint root</t>
  </si>
  <si>
    <t xml:space="preserve">5360</t>
  </si>
  <si>
    <t xml:space="preserve">verifier with Merkle inclusion proof</t>
  </si>
  <si>
    <t xml:space="preserve">5370</t>
  </si>
  <si>
    <t xml:space="preserve">assurance report</t>
  </si>
  <si>
    <t xml:space="preserve">5400</t>
  </si>
  <si>
    <t xml:space="preserve">external AI agent</t>
  </si>
  <si>
    <t xml:space="preserve">54</t>
  </si>
  <si>
    <t xml:space="preserve">5410</t>
  </si>
  <si>
    <t xml:space="preserve">skill definition</t>
  </si>
  <si>
    <t xml:space="preserve">5420</t>
  </si>
  <si>
    <t xml:space="preserve">MCP tool server</t>
  </si>
  <si>
    <t xml:space="preserve">5430</t>
  </si>
  <si>
    <t xml:space="preserve">tool-to-command mapping</t>
  </si>
  <si>
    <t xml:space="preserve">5440</t>
  </si>
  <si>
    <t xml:space="preserve">gateway check of agent call</t>
  </si>
  <si>
    <t xml:space="preserve">5450</t>
  </si>
  <si>
    <t xml:space="preserve">agent allow-list</t>
  </si>
  <si>
    <t xml:space="preserve">5460</t>
  </si>
  <si>
    <t xml:space="preserve">grounded handlers</t>
  </si>
  <si>
    <t xml:space="preserve">5470</t>
  </si>
  <si>
    <t xml:space="preserve">reserved command → isolation</t>
  </si>
  <si>
    <t xml:space="preserve">5500</t>
  </si>
  <si>
    <t xml:space="preserve">producer node</t>
  </si>
  <si>
    <t xml:space="preserve">55</t>
  </si>
  <si>
    <t xml:space="preserve">5510</t>
  </si>
  <si>
    <t xml:space="preserve">per-type compression</t>
  </si>
  <si>
    <t xml:space="preserve">5520</t>
  </si>
  <si>
    <t xml:space="preserve">frame</t>
  </si>
  <si>
    <t xml:space="preserve">5521</t>
  </si>
  <si>
    <t xml:space="preserve">32-byte header</t>
  </si>
  <si>
    <t xml:space="preserve">5522</t>
  </si>
  <si>
    <t xml:space="preserve">frame metadata</t>
  </si>
  <si>
    <t xml:space="preserve">5523</t>
  </si>
  <si>
    <t xml:space="preserve">payload</t>
  </si>
  <si>
    <t xml:space="preserve">5524</t>
  </si>
  <si>
    <t xml:space="preserve">CRC32 checksum</t>
  </si>
  <si>
    <t xml:space="preserve">5525</t>
  </si>
  <si>
    <t xml:space="preserve">optional signature</t>
  </si>
  <si>
    <t xml:space="preserve">5530</t>
  </si>
  <si>
    <t xml:space="preserve">control lane</t>
  </si>
  <si>
    <t xml:space="preserve">5531</t>
  </si>
  <si>
    <t xml:space="preserve">normal lane</t>
  </si>
  <si>
    <t xml:space="preserve">5532</t>
  </si>
  <si>
    <t xml:space="preserve">bulk lane</t>
  </si>
  <si>
    <t xml:space="preserve">5541</t>
  </si>
  <si>
    <t xml:space="preserve">receiver / frame reader</t>
  </si>
  <si>
    <t xml:space="preserve">5543</t>
  </si>
  <si>
    <t xml:space="preserve">package rebuild + manifest check</t>
  </si>
  <si>
    <t xml:space="preserve">5550</t>
  </si>
  <si>
    <t xml:space="preserve">record verification into Fact Unit store</t>
  </si>
  <si>
    <t xml:space="preserve">6100</t>
  </si>
  <si>
    <t xml:space="preserve">UFCS substrate (fact graph, ontology mesh, provenance ledger)</t>
  </si>
  <si>
    <t xml:space="preserve">1</t>
  </si>
  <si>
    <t xml:space="preserve">Yes</t>
  </si>
  <si>
    <t xml:space="preserve">6102</t>
  </si>
  <si>
    <t xml:space="preserve">multimodal ingestion</t>
  </si>
  <si>
    <t xml:space="preserve">6104</t>
  </si>
  <si>
    <t xml:space="preserve">FQL query (joint structure + trust execution)</t>
  </si>
  <si>
    <t xml:space="preserve">6106</t>
  </si>
  <si>
    <t xml:space="preserve">verification (verify / contradict / unknown)</t>
  </si>
  <si>
    <t xml:space="preserve">6108</t>
  </si>
  <si>
    <t xml:space="preserve">federation re-validation</t>
  </si>
  <si>
    <t xml:space="preserve">6110</t>
  </si>
  <si>
    <t xml:space="preserve">grounded generation (cited output)</t>
  </si>
  <si>
    <t xml:space="preserve">6112</t>
  </si>
  <si>
    <t xml:space="preserve">Prime Directive safety substrate (Domain 0)</t>
  </si>
  <si>
    <t xml:space="preserve">6200</t>
  </si>
  <si>
    <t xml:space="preserve">fact envelope</t>
  </si>
  <si>
    <t xml:space="preserve">2</t>
  </si>
  <si>
    <t xml:space="preserve">6202</t>
  </si>
  <si>
    <t xml:space="preserve">nucleus (subject, predicate, object, polarity)</t>
  </si>
  <si>
    <t xml:space="preserve">6204</t>
  </si>
  <si>
    <t xml:space="preserve">semantic fingerprint</t>
  </si>
  <si>
    <t xml:space="preserve">6206</t>
  </si>
  <si>
    <t xml:space="preserve">Fact Unit identifier (FUID)</t>
  </si>
  <si>
    <t xml:space="preserve">6208</t>
  </si>
  <si>
    <t xml:space="preserve">confidence (α / β, score, credible interval)</t>
  </si>
  <si>
    <t xml:space="preserve">6210</t>
  </si>
  <si>
    <t xml:space="preserve">provenance (reference, chain index, signature)</t>
  </si>
  <si>
    <t xml:space="preserve">6212</t>
  </si>
  <si>
    <t xml:space="preserve">certification (authority class, trust score)</t>
  </si>
  <si>
    <t xml:space="preserve">6214</t>
  </si>
  <si>
    <t xml:space="preserve">temporal (anchor, ingested, attestation)</t>
  </si>
  <si>
    <t xml:space="preserve">6216</t>
  </si>
  <si>
    <t xml:space="preserve">safety (classification, access-control list)</t>
  </si>
  <si>
    <t xml:space="preserve">6218</t>
  </si>
  <si>
    <t xml:space="preserve">typed links to other Fact Units</t>
  </si>
  <si>
    <t xml:space="preserve">6300</t>
  </si>
  <si>
    <t xml:space="preserve">root trust anchor</t>
  </si>
  <si>
    <t xml:space="preserve">3</t>
  </si>
  <si>
    <t xml:space="preserve">6302</t>
  </si>
  <si>
    <t xml:space="preserve">certifying authority class with trust ceiling</t>
  </si>
  <si>
    <t xml:space="preserve">6402</t>
  </si>
  <si>
    <t xml:space="preserve">fact graph</t>
  </si>
  <si>
    <t xml:space="preserve">4</t>
  </si>
  <si>
    <t xml:space="preserve">6404</t>
  </si>
  <si>
    <t xml:space="preserve">ontology mesh</t>
  </si>
  <si>
    <t xml:space="preserve">6406</t>
  </si>
  <si>
    <t xml:space="preserve">provenance ledger</t>
  </si>
  <si>
    <t xml:space="preserve">6408</t>
  </si>
  <si>
    <t xml:space="preserve">substrate relationship types</t>
  </si>
  <si>
    <t xml:space="preserve">6500</t>
  </si>
  <si>
    <t xml:space="preserve">waypoint (immersive scene) 1</t>
  </si>
  <si>
    <t xml:space="preserve">5</t>
  </si>
  <si>
    <t xml:space="preserve">6501</t>
  </si>
  <si>
    <t xml:space="preserve">waypoint 2</t>
  </si>
  <si>
    <t xml:space="preserve">6502</t>
  </si>
  <si>
    <t xml:space="preserve">waypoint 3</t>
  </si>
  <si>
    <t xml:space="preserve">6503</t>
  </si>
  <si>
    <t xml:space="preserve">waypoint 4</t>
  </si>
  <si>
    <t xml:space="preserve">6504</t>
  </si>
  <si>
    <t xml:space="preserve">waypoint 5</t>
  </si>
  <si>
    <t xml:space="preserve">6510</t>
  </si>
  <si>
    <t xml:space="preserve">author-selected order</t>
  </si>
  <si>
    <t xml:space="preserve">6512</t>
  </si>
  <si>
    <t xml:space="preserve">reader playback control</t>
  </si>
  <si>
    <t xml:space="preserve">6600</t>
  </si>
  <si>
    <t xml:space="preserve">FQL query (structure pattern + trust threshold)</t>
  </si>
  <si>
    <t xml:space="preserve">6</t>
  </si>
  <si>
    <t xml:space="preserve">6602</t>
  </si>
  <si>
    <t xml:space="preserve">structure filter</t>
  </si>
  <si>
    <t xml:space="preserve">6604</t>
  </si>
  <si>
    <t xml:space="preserve">trust propagation</t>
  </si>
  <si>
    <t xml:space="preserve">6606</t>
  </si>
  <si>
    <t xml:space="preserve">branch and bound</t>
  </si>
  <si>
    <t xml:space="preserve">6608</t>
  </si>
  <si>
    <t xml:space="preserve">contradiction exclusion</t>
  </si>
  <si>
    <t xml:space="preserve">6610</t>
  </si>
  <si>
    <t xml:space="preserve">ranked results with response provenance hash</t>
  </si>
  <si>
    <t xml:space="preserve">6700</t>
  </si>
  <si>
    <t xml:space="preserve">extracted assertion</t>
  </si>
  <si>
    <t xml:space="preserve">7</t>
  </si>
  <si>
    <t xml:space="preserve">6702</t>
  </si>
  <si>
    <t xml:space="preserve">verified</t>
  </si>
  <si>
    <t xml:space="preserve">6704</t>
  </si>
  <si>
    <t xml:space="preserve">same subject/predicate, different object test</t>
  </si>
  <si>
    <t xml:space="preserve">6706</t>
  </si>
  <si>
    <t xml:space="preserve">unknown</t>
  </si>
  <si>
    <t xml:space="preserve">6708</t>
  </si>
  <si>
    <t xml:space="preserve">contradicted (higher-trust citation)</t>
  </si>
  <si>
    <t xml:space="preserve">6800</t>
  </si>
  <si>
    <t xml:space="preserve">first domain</t>
  </si>
  <si>
    <t xml:space="preserve">8</t>
  </si>
  <si>
    <t xml:space="preserve">6802</t>
  </si>
  <si>
    <t xml:space="preserve">second domain</t>
  </si>
  <si>
    <t xml:space="preserve">6804</t>
  </si>
  <si>
    <t xml:space="preserve">certified envelope</t>
  </si>
  <si>
    <t xml:space="preserve">6806</t>
  </si>
  <si>
    <t xml:space="preserve">re-validation before admission</t>
  </si>
  <si>
    <t xml:space="preserve">6900</t>
  </si>
  <si>
    <t xml:space="preserve">sealed fact with encrypted payload</t>
  </si>
  <si>
    <t xml:space="preserve">9</t>
  </si>
  <si>
    <t xml:space="preserve">6902</t>
  </si>
  <si>
    <t xml:space="preserve">external key held off-system</t>
  </si>
  <si>
    <t xml:space="preserve">6904</t>
  </si>
  <si>
    <t xml:space="preserve">key destruction</t>
  </si>
  <si>
    <t xml:space="preserve">6906</t>
  </si>
  <si>
    <t xml:space="preserve">unrecoverable payload</t>
  </si>
  <si>
    <t xml:space="preserve">7000</t>
  </si>
  <si>
    <t xml:space="preserve">twelve defensive layers</t>
  </si>
  <si>
    <t xml:space="preserve">10</t>
  </si>
  <si>
    <t xml:space="preserve">7002</t>
  </si>
  <si>
    <t xml:space="preserve">five postures</t>
  </si>
  <si>
    <t xml:space="preserve">7004</t>
  </si>
  <si>
    <t xml:space="preserve">AI-attack prediction</t>
  </si>
  <si>
    <t xml:space="preserve">7102</t>
  </si>
  <si>
    <t xml:space="preserve">phantom port daemon</t>
  </si>
  <si>
    <t xml:space="preserve">11</t>
  </si>
  <si>
    <t xml:space="preserve">7104</t>
  </si>
  <si>
    <t xml:space="preserve">shadow-application mechanism</t>
  </si>
  <si>
    <t xml:space="preserve">7106</t>
  </si>
  <si>
    <t xml:space="preserve">data firehose</t>
  </si>
  <si>
    <t xml:space="preserve">7200</t>
  </si>
  <si>
    <t xml:space="preserve">cloud SaaS topology</t>
  </si>
  <si>
    <t xml:space="preserve">12</t>
  </si>
  <si>
    <t xml:space="preserve">7201</t>
  </si>
  <si>
    <t xml:space="preserve">local-server topology</t>
  </si>
  <si>
    <t xml:space="preserve">7202</t>
  </si>
  <si>
    <t xml:space="preserve">hybrid topology</t>
  </si>
  <si>
    <t xml:space="preserve">7203</t>
  </si>
  <si>
    <t xml:space="preserve">single-device topology</t>
  </si>
  <si>
    <t xml:space="preserve">7204</t>
  </si>
  <si>
    <t xml:space="preserve">edge topology</t>
  </si>
  <si>
    <t xml:space="preserve">7210</t>
  </si>
  <si>
    <t xml:space="preserve">invariant common layer</t>
  </si>
  <si>
    <t xml:space="preserve">7212</t>
  </si>
  <si>
    <t xml:space="preserve">governed agent runtime</t>
  </si>
  <si>
    <t xml:space="preserve">7300</t>
  </si>
  <si>
    <t xml:space="preserve">result-set analysis</t>
  </si>
  <si>
    <t xml:space="preserve">13</t>
  </si>
  <si>
    <t xml:space="preserve">7302</t>
  </si>
  <si>
    <t xml:space="preserve">profile resolution</t>
  </si>
  <si>
    <t xml:space="preserve">7304</t>
  </si>
  <si>
    <t xml:space="preserve">directive assembly</t>
  </si>
  <si>
    <t xml:space="preserve">7306</t>
  </si>
  <si>
    <t xml:space="preserve">vocabulary constraint</t>
  </si>
  <si>
    <t xml:space="preserve">7308</t>
  </si>
  <si>
    <t xml:space="preserve">generation under directive</t>
  </si>
  <si>
    <t xml:space="preserve">7400</t>
  </si>
  <si>
    <t xml:space="preserve">agent blueprint</t>
  </si>
  <si>
    <t xml:space="preserve">14</t>
  </si>
  <si>
    <t xml:space="preserve">7402</t>
  </si>
  <si>
    <t xml:space="preserve">agent instance</t>
  </si>
  <si>
    <t xml:space="preserve">7404</t>
  </si>
  <si>
    <t xml:space="preserve">action (template ∩ entitlement)</t>
  </si>
  <si>
    <t xml:space="preserve">7406</t>
  </si>
  <si>
    <t xml:space="preserve">governance evaluation</t>
  </si>
  <si>
    <t xml:space="preserve">7408</t>
  </si>
  <si>
    <t xml:space="preserve">allow / execute</t>
  </si>
  <si>
    <t xml:space="preserve">7410</t>
  </si>
  <si>
    <t xml:space="preserve">deny / log</t>
  </si>
  <si>
    <t xml:space="preserve">7412</t>
  </si>
  <si>
    <t xml:space="preserve">kill / revoke switch</t>
  </si>
  <si>
    <t xml:space="preserve">7500</t>
  </si>
  <si>
    <t xml:space="preserve">source content ingested once</t>
  </si>
  <si>
    <t xml:space="preserve">15</t>
  </si>
  <si>
    <t xml:space="preserve">7502</t>
  </si>
  <si>
    <t xml:space="preserve">language-independent Fact Unit graph</t>
  </si>
  <si>
    <t xml:space="preserve">7504</t>
  </si>
  <si>
    <t xml:space="preserve">target languages</t>
  </si>
  <si>
    <t xml:space="preserve">7504a</t>
  </si>
  <si>
    <t xml:space="preserve">English rendering</t>
  </si>
  <si>
    <t xml:space="preserve">7504b</t>
  </si>
  <si>
    <t xml:space="preserve">Japanese rendering</t>
  </si>
  <si>
    <t xml:space="preserve">7504c</t>
  </si>
  <si>
    <t xml:space="preserve">Spanish rendering</t>
  </si>
  <si>
    <t xml:space="preserve">7504d</t>
  </si>
  <si>
    <t xml:space="preserve">Arabic rendering</t>
  </si>
  <si>
    <t xml:space="preserve">7600</t>
  </si>
  <si>
    <t xml:space="preserve">media (pixels / waveform)</t>
  </si>
  <si>
    <t xml:space="preserve">16</t>
  </si>
  <si>
    <t xml:space="preserve">7602</t>
  </si>
  <si>
    <t xml:space="preserve">semantic compression</t>
  </si>
  <si>
    <t xml:space="preserve">7604</t>
  </si>
  <si>
    <t xml:space="preserve">meaning store</t>
  </si>
  <si>
    <t xml:space="preserve">7606</t>
  </si>
  <si>
    <t xml:space="preserve">expansion</t>
  </si>
  <si>
    <t xml:space="preserve">7608</t>
  </si>
  <si>
    <t xml:space="preserve">colorization</t>
  </si>
  <si>
    <t xml:space="preserve">7610</t>
  </si>
  <si>
    <t xml:space="preserve">upscaling</t>
  </si>
  <si>
    <t xml:space="preserve">7700</t>
  </si>
  <si>
    <t xml:space="preserve">IP header</t>
  </si>
  <si>
    <t xml:space="preserve">17</t>
  </si>
  <si>
    <t xml:space="preserve">7702</t>
  </si>
  <si>
    <t xml:space="preserve">TCP header</t>
  </si>
  <si>
    <t xml:space="preserve">7704</t>
  </si>
  <si>
    <t xml:space="preserve">semantic metadata header (optional)</t>
  </si>
  <si>
    <t xml:space="preserve">7706</t>
  </si>
  <si>
    <t xml:space="preserve">7800</t>
  </si>
  <si>
    <t xml:space="preserve">energy function</t>
  </si>
  <si>
    <t xml:space="preserve">18</t>
  </si>
  <si>
    <t xml:space="preserve">7802</t>
  </si>
  <si>
    <t xml:space="preserve">stable equilibrium</t>
  </si>
  <si>
    <t xml:space="preserve">7804</t>
  </si>
  <si>
    <t xml:space="preserve">capacity ceiling</t>
  </si>
  <si>
    <t xml:space="preserve">7806</t>
  </si>
  <si>
    <t xml:space="preserve">noisy cue</t>
  </si>
  <si>
    <t xml:space="preserve">7900</t>
  </si>
  <si>
    <t xml:space="preserve">evidence pair (α, β)</t>
  </si>
  <si>
    <t xml:space="preserve">19</t>
  </si>
  <si>
    <t xml:space="preserve">7902</t>
  </si>
  <si>
    <t xml:space="preserve">Beta posterior</t>
  </si>
  <si>
    <t xml:space="preserve">7904</t>
  </si>
  <si>
    <t xml:space="preserve">score</t>
  </si>
  <si>
    <t xml:space="preserve">7906</t>
  </si>
  <si>
    <t xml:space="preserve">credible interval</t>
  </si>
  <si>
    <t xml:space="preserve">7908</t>
  </si>
  <si>
    <t xml:space="preserve">source diversity</t>
  </si>
  <si>
    <t xml:space="preserve">7910</t>
  </si>
  <si>
    <t xml:space="preserve">temporal decay</t>
  </si>
  <si>
    <t xml:space="preserve">7912</t>
  </si>
  <si>
    <t xml:space="preserve">confidence trend</t>
  </si>
  <si>
    <t xml:space="preserve">8000</t>
  </si>
  <si>
    <t xml:space="preserve">packet header</t>
  </si>
  <si>
    <t xml:space="preserve">20</t>
  </si>
  <si>
    <t xml:space="preserve">8002</t>
  </si>
  <si>
    <t xml:space="preserve">packet nucleus</t>
  </si>
  <si>
    <t xml:space="preserve">8004</t>
  </si>
  <si>
    <t xml:space="preserve">packet identity (fingerprint)</t>
  </si>
  <si>
    <t xml:space="preserve">8006</t>
  </si>
  <si>
    <t xml:space="preserve">packet confidence</t>
  </si>
  <si>
    <t xml:space="preserve">8008</t>
  </si>
  <si>
    <t xml:space="preserve">packet sources</t>
  </si>
  <si>
    <t xml:space="preserve">8010</t>
  </si>
  <si>
    <t xml:space="preserve">packet certification</t>
  </si>
  <si>
    <t xml:space="preserve">8012</t>
  </si>
  <si>
    <t xml:space="preserve">packet temporal fields</t>
  </si>
  <si>
    <t xml:space="preserve">8014</t>
  </si>
  <si>
    <t xml:space="preserve">packet provenance</t>
  </si>
  <si>
    <t xml:space="preserve">8016</t>
  </si>
  <si>
    <t xml:space="preserve">packet safety fields</t>
  </si>
  <si>
    <t xml:space="preserve">8018</t>
  </si>
  <si>
    <t xml:space="preserve">packet links</t>
  </si>
  <si>
    <t xml:space="preserve">8020</t>
  </si>
  <si>
    <t xml:space="preserve">exemplar packet</t>
  </si>
  <si>
    <t xml:space="preserve">8100</t>
  </si>
  <si>
    <t xml:space="preserve">packet stream</t>
  </si>
  <si>
    <t xml:space="preserve">21</t>
  </si>
  <si>
    <t xml:space="preserve">8102</t>
  </si>
  <si>
    <t xml:space="preserve">block writer (de-duplication by fingerprint)</t>
  </si>
  <si>
    <t xml:space="preserve">8104</t>
  </si>
  <si>
    <t xml:space="preserve">content-addressed block</t>
  </si>
  <si>
    <t xml:space="preserve">8106</t>
  </si>
  <si>
    <t xml:space="preserve">fingerprint index</t>
  </si>
  <si>
    <t xml:space="preserve">8200</t>
  </si>
  <si>
    <t xml:space="preserve">MATCH clause</t>
  </si>
  <si>
    <t xml:space="preserve">22</t>
  </si>
  <si>
    <t xml:space="preserve">8202</t>
  </si>
  <si>
    <t xml:space="preserve">WHERE clause</t>
  </si>
  <si>
    <t xml:space="preserve">8204</t>
  </si>
  <si>
    <t xml:space="preserve">EXCLUDE clause</t>
  </si>
  <si>
    <t xml:space="preserve">8206</t>
  </si>
  <si>
    <t xml:space="preserve">RANK BY clause</t>
  </si>
  <si>
    <t xml:space="preserve">8208</t>
  </si>
  <si>
    <t xml:space="preserve">RETURN clause</t>
  </si>
  <si>
    <t xml:space="preserve">8210</t>
  </si>
  <si>
    <t xml:space="preserve">query result</t>
  </si>
  <si>
    <t xml:space="preserve">FIG.</t>
  </si>
  <si>
    <t xml:space="preserve">Title</t>
  </si>
  <si>
    <t xml:space="preserve">Numerals shown</t>
  </si>
  <si>
    <t xml:space="preserve">Numeral count</t>
  </si>
  <si>
    <t xml:space="preserve">QueryBook system architecture (Prime Directive as Domain 0)</t>
  </si>
  <si>
    <t xml:space="preserve">6100, 6102, 6104, 6106, 6108, 6110, 6112</t>
  </si>
  <si>
    <t xml:space="preserve">Fact Unit — atom, envelope, and content-derived identity</t>
  </si>
  <si>
    <t xml:space="preserve">6200, 6202, 6204, 6206, 6208, 6210, 6212, 6214, 6216, 6218</t>
  </si>
  <si>
    <t xml:space="preserve">Fact-certification authority hierarchy</t>
  </si>
  <si>
    <t xml:space="preserve">6300, 6302</t>
  </si>
  <si>
    <t xml:space="preserve">UFCS substrate — three-store architecture</t>
  </si>
  <si>
    <t xml:space="preserve">6402, 6404, 6406, 6408</t>
  </si>
  <si>
    <t xml:space="preserve">Authored tour and exhibition sequencing</t>
  </si>
  <si>
    <t xml:space="preserve">6500, 6501, 6502, 6503, 6504, 6510, 6512</t>
  </si>
  <si>
    <t xml:space="preserve">FQL — joint structure and trust execution</t>
  </si>
  <si>
    <t xml:space="preserve">6600, 6602, 6604, 6606, 6608, 6610</t>
  </si>
  <si>
    <t xml:space="preserve">Verifying machine-generated text against certified records</t>
  </si>
  <si>
    <t xml:space="preserve">6700, 6702, 6704, 6706, 6708</t>
  </si>
  <si>
    <t xml:space="preserve">Federation — cross-boundary re-validation</t>
  </si>
  <si>
    <t xml:space="preserve">6800, 6802, 6804, 6806</t>
  </si>
  <si>
    <t xml:space="preserve">Fact-level erasure by external-key destruction</t>
  </si>
  <si>
    <t xml:space="preserve">6900, 6902, 6904, 6906</t>
  </si>
  <si>
    <t xml:space="preserve">Universal security architecture</t>
  </si>
  <si>
    <t xml:space="preserve">7000, 7002, 7004</t>
  </si>
  <si>
    <t xml:space="preserve">Universal honeypot saturation and data firehose</t>
  </si>
  <si>
    <t xml:space="preserve">7102, 7104, 7106</t>
  </si>
  <si>
    <t xml:space="preserve">Deployment topologies over an invariant common layer</t>
  </si>
  <si>
    <t xml:space="preserve">7200, 7201, 7202, 7203, 7204, 7210, 7212</t>
  </si>
  <si>
    <t xml:space="preserve">Adaptive response engine — directive fixed before generation</t>
  </si>
  <si>
    <t xml:space="preserve">7300, 7302, 7304, 7306, 7308</t>
  </si>
  <si>
    <t xml:space="preserve">User-owned agent system with governance and kill switch</t>
  </si>
  <si>
    <t xml:space="preserve">7400, 7402, 7404, 7406, 7408, 7410, 7412</t>
  </si>
  <si>
    <t xml:space="preserve">Deterministic multi-language regeneration</t>
  </si>
  <si>
    <t xml:space="preserve">7500, 7502, 7504, 7504a, 7504b, 7504c, 7504d</t>
  </si>
  <si>
    <t xml:space="preserve">Semantic compression, expansion, colorization and upscaling</t>
  </si>
  <si>
    <t xml:space="preserve">7600, 7602, 7604, 7606, 7608, 7610</t>
  </si>
  <si>
    <t xml:space="preserve">QueryBook-enhanced TCP/IP hybrid protocol packet</t>
  </si>
  <si>
    <t xml:space="preserve">7700, 7702, 7704, 7706</t>
  </si>
  <si>
    <t xml:space="preserve">Neuromorphic cognitive layer — attractor convergence</t>
  </si>
  <si>
    <t xml:space="preserve">7800, 7802, 7804, 7806</t>
  </si>
  <si>
    <t xml:space="preserve">Fact Unit — confidence and evidence model</t>
  </si>
  <si>
    <t xml:space="preserve">7900, 7902, 7904, 7906, 7908, 7910, 7912</t>
  </si>
  <si>
    <t xml:space="preserve">UFCS packet structure — serialized Fact Unit record</t>
  </si>
  <si>
    <t xml:space="preserve">8000, 8002, 8004, 8006, 8008, 8010, 8012, 8014, 8016, 8018, 8020</t>
  </si>
  <si>
    <t xml:space="preserve">UFCS packet framing — content-addressed block storage</t>
  </si>
  <si>
    <t xml:space="preserve">8100, 8102, 8104, 8106</t>
  </si>
  <si>
    <t xml:space="preserve">FQL — query anatomy and worked example</t>
  </si>
  <si>
    <t xml:space="preserve">8200, 8202, 8204, 8206, 8208, 8210</t>
  </si>
  <si>
    <t xml:space="preserve">QueryBook LEL — Overall System Architecture</t>
  </si>
  <si>
    <t xml:space="preserve">110, 120, 130, 140, 150, 160, 165, 170, 180, 190, 195</t>
  </si>
  <si>
    <t xml:space="preserve">Sub-Language Priming Layer (SLPL) and Its Measurable Outputs</t>
  </si>
  <si>
    <t xml:space="preserve">200, 210, 211, 220, 221, 230, 231, 240, 241, 250, 251, 260, 261, 270</t>
  </si>
  <si>
    <t xml:space="preserve">Developmental Learning Sequence and One-Way Transition Gate</t>
  </si>
  <si>
    <t xml:space="preserve">300, 310, 311, 312, 313, 314, 320, 321, 322, 323, 324, 330, 331, 332, 333</t>
  </si>
  <si>
    <t xml:space="preserve">Multilingual Transfer — Delta Acquisition and Acceleration Flywheel</t>
  </si>
  <si>
    <t xml:space="preserve">400, 410, 420, 430, 440, 450, 451</t>
  </si>
  <si>
    <t xml:space="preserve">Speech Output Pipeline (Seven Learned Stages)</t>
  </si>
  <si>
    <t xml:space="preserve">500, 510, 520, 530, 540, 550, 560, 570, 580</t>
  </si>
  <si>
    <t xml:space="preserve">Co-Grounded Integration with FQL and UFCS</t>
  </si>
  <si>
    <t xml:space="preserve">600, 610, 620, 630, 640, 650, 660, 670, 680</t>
  </si>
  <si>
    <t xml:space="preserve">Reduced-to-Practice Embodiment — Language Lab Phases One and Two Prototype</t>
  </si>
  <si>
    <t xml:space="preserve">700, 710, 720, 730, 731, 732, 733, 734, 735, 736, 740, 750, 751, 760, 761, 762, 763, 764</t>
  </si>
  <si>
    <t xml:space="preserve">Deterministic Phase-Two Semantic Grounding — Dictionary and Store (No LLM)</t>
  </si>
  <si>
    <t xml:space="preserve">800, 810, 820, 830, 831, 840, 841, 850, 860, 870</t>
  </si>
  <si>
    <t xml:space="preserve">Advanced Multilingual Pronunciation and Self-Contained Speech (No LLM)</t>
  </si>
  <si>
    <t xml:space="preserve">900, 910, 920, 930, 931, 932, 933, 940, 941, 950, 960, 970, 971, 980, 981, 982, 983, 984, 985, 986, 987</t>
  </si>
  <si>
    <t xml:space="preserve">Permanent Pronunciation and Speech Quality-Control Battery (No LLM)</t>
  </si>
  <si>
    <t xml:space="preserve">995, 996, 997, 998, 999</t>
  </si>
  <si>
    <t xml:space="preserve">LIL — Voiceprint Enrollment and Matching over the Fact-Unit Identity Graph</t>
  </si>
  <si>
    <t xml:space="preserve">1000, 1001, 1002, 1003, 1004, 1005, 1006, 1007, 1008, 1009, 1010</t>
  </si>
  <si>
    <t xml:space="preserve">LIL — Trust-Gated Voice Authentication with Anti-Spoofing</t>
  </si>
  <si>
    <t xml:space="preserve">1020, 1021, 1022, 1023, 1024, 1025, 1026</t>
  </si>
  <si>
    <t xml:space="preserve">UIAS — Pre-Dispute Sealing and Cross-Submission Similarity over the Fact-Unit Ledger</t>
  </si>
  <si>
    <t xml:space="preserve">1100, 1101, 1102, 1103, 1104, 1105, 1106, 1107, 1108, 1109, 1110, 1111, 1112</t>
  </si>
  <si>
    <t xml:space="preserve">UIAS — Signed Proof Package Generation</t>
  </si>
  <si>
    <t xml:space="preserve">1120, 1121, 1122, 1123, 1124, 1125, 1126, 1127, 1128, 1129</t>
  </si>
  <si>
    <t xml:space="preserve">PIL — Paralinguistic and Pragmatic Interpretation of an Ingested Voice</t>
  </si>
  <si>
    <t xml:space="preserve">1200, 1201, 1202, 1203, 1204, 1205, 1206, 1207, 1208, 1209</t>
  </si>
  <si>
    <t xml:space="preserve">PIL — Human Query Interpretation and Covenant-Bound Answering</t>
  </si>
  <si>
    <t xml:space="preserve">1210, 1211, 1212, 1213, 1214, 1215, 1216, 1217, 1218, 1219</t>
  </si>
  <si>
    <t xml:space="preserve">Lecture Query — Ingestion Pipeline</t>
  </si>
  <si>
    <t xml:space="preserve">1300, 1301, 1302, 1303, 1304, 1305, 1306, 1307, 1308, 1309</t>
  </si>
  <si>
    <t xml:space="preserve">Lecture Query — The Forever-Linked Lecture Record and Its Querying</t>
  </si>
  <si>
    <t xml:space="preserve">1310, 1311, 1312, 1313, 1314, 1315, 1316, 1317, 1318, 1319, 1320</t>
  </si>
  <si>
    <t xml:space="preserve">Deterministic Multilingual Acquisition Without a Generative Model</t>
  </si>
  <si>
    <t xml:space="preserve">Dialect Parameter Clusters (DPC) — Declared, Expression-Only Modulation</t>
  </si>
  <si>
    <t xml:space="preserve">Grounded Scene Compilation to an External Generative Media Engine</t>
  </si>
  <si>
    <t xml:space="preserve">Key-Safe External-Service Mediation</t>
  </si>
  <si>
    <t xml:space="preserve">Scene Reconstruction From Prose — Bounded, Silhouette-Protected</t>
  </si>
  <si>
    <t xml:space="preserve">Modular Edition Packaging — Nested Capability Editions</t>
  </si>
  <si>
    <t xml:space="preserve">Version-Independent, Provenance-Continuous Store</t>
  </si>
  <si>
    <t xml:space="preserve">Cited Q&amp;A / ChatBot Application — Citation-or-UNKNOWN End to End</t>
  </si>
  <si>
    <t xml:space="preserve">4800, 4801, 4810, 4820, 4830, 4840, 4841, 4850, 4860</t>
  </si>
  <si>
    <t xml:space="preserve">Application and Deployment Surfaces over the Invariant Core</t>
  </si>
  <si>
    <t xml:space="preserve">4900, 4910, 4920, 4930, 4940, 4950, 4960</t>
  </si>
  <si>
    <t xml:space="preserve">Open Claw Ingestion — Artifact Segmenter and OpenClaw Interpreter</t>
  </si>
  <si>
    <t xml:space="preserve">5000, 5010, 5020, 5025, 5040, 5050, 5051, 5052, 5053, 5060, 5070, 5080, 5090, 5095</t>
  </si>
  <si>
    <t xml:space="preserve">On-Chain Certification — Provenance NFTs, Lineage, Revocation and Independent Verification</t>
  </si>
  <si>
    <t xml:space="preserve">5100, 5110, 5120, 5140, 5150, 5160, 5170, 5180, 5190</t>
  </si>
  <si>
    <t xml:space="preserve">Agent Protection and Deception Layer — Gateway, Traps, Firewall, Containment and Decoy</t>
  </si>
  <si>
    <t xml:space="preserve">5200, 5210, 5220, 5230, 5231, 5232, 5233, 5234, 5240, 5241, 5250, 5260, 5261, 5270, 5280, 5290, 5295</t>
  </si>
  <si>
    <t xml:space="preserve">Tamper-Evident Security Record — Hash Chain, Write-Once Merkle Checkpoints, Mirror and Anchor</t>
  </si>
  <si>
    <t xml:space="preserve">5300, 5310, 5320, 5330, 5340, 5350, 5360, 5370</t>
  </si>
  <si>
    <t xml:space="preserve">Agent Interoperability — MCP Tool Server and OpenClaw Skill Through the Agent Gateway</t>
  </si>
  <si>
    <t xml:space="preserve">5220, 5400, 5410, 5420, 5430, 5440, 5450, 5460, 5470</t>
  </si>
  <si>
    <t xml:space="preserve">Hybrid Transport — Framed UFCS-FQL Messages on Priority Lanes over TCP/IP (extends FIG. 17)</t>
  </si>
  <si>
    <t xml:space="preserve">5500, 5510, 5520, 5521, 5522, 5523, 5524, 5525, 5530, 5531, 5532, 5541, 5543, 5550</t>
  </si>
  <si>
    <t xml:space="preserve">Claim</t>
  </si>
  <si>
    <t xml:space="preserve">Type</t>
  </si>
  <si>
    <t xml:space="preserve">Depends on</t>
  </si>
  <si>
    <t xml:space="preserve">Claim text</t>
  </si>
  <si>
    <t xml:space="preserve">Independent</t>
  </si>
  <si>
    <t xml:space="preserve">A computer-implemented knowledge and query system, comprising one or more processors and memory storing: a knowledge substrate of Fact Units, each Fact Unit encoding exactly one assertion as a nucleus comprising a subject, a predicate, an object and a polarity, and an envelope carrying a confidence, a provenance reference into an append-only provenance ledger, a certification by an issuing authority, a temporal anchor, and a safety classification and access-control list carried within the Fact Unit, each Fact Unit being immutable once sealed and identified by an identifier derived from its content; a query engine configured to execute a query combining a structural pattern over subjects, predicates and objects with a trust threshold, evaluating structure and certification together during traversal, and returning results bound to a response provenance value identifying the contributing Fact Units; a grounded-generation stage configured to compose a natural-language response only from Fact Units returned by the query engine, citing each contributing Fact Unit, and to return an indication that the answer is unknown where no Fact Unit satisfying the trust threshold exists; and a safety plane configured to gate every query answer, generated output and scheduled action of the system, a denial by the safety plane returning information the requester is entitled to receive.</t>
  </si>
  <si>
    <t xml:space="preserve">Dependent</t>
  </si>
  <si>
    <t xml:space="preserve">The system of claim 1, wherein said identifier comprises a semantic fingerprint computed by a cryptographic hash over a normalized form of the subject, predicate, object and polarity, such that two Fact Units asserting the same assertion, including in different natural languages, carry the same fingerprint and are de-duplicated, corroborated or detected as contradictory at ingestion.</t>
  </si>
  <si>
    <t xml:space="preserve">The system of claim 1, wherein the confidence comprises a first parameter accumulating supporting evidence and a second parameter accumulating contradicting evidence, a score equal to the ratio of the first parameter to the sum of the parameters, a credible interval, a source-diversity measure over registered source classes, a temporal decay that widens the credible interval while preserving the score, and a trend indicating whether the confidence is ascending, stable or descending.</t>
  </si>
  <si>
    <t xml:space="preserve">The system of claim 1, wherein each certification is issued under an authority hierarchy descending from a root trust anchor, each authority class imposing a trust ceiling inherited by the Fact Units it certifies.</t>
  </si>
  <si>
    <t xml:space="preserve">The system of claim 1, wherein the knowledge substrate comprises a fact graph whose nodes are Fact Units joined by typed edges, an ontology mesh binding subjects and predicates to canonical language-neutral identifiers, and said provenance ledger, every node and edge being keyed by content fingerprint, and a relation among more than two Fact Units being held as a single hyperedge.</t>
  </si>
  <si>
    <t xml:space="preserve">The system of claim 1, wherein the query engine propagates trust from contributing sources, prunes a candidate falling below the trust threshold during traversal, excludes Fact Units in unresolved contradiction, and ranks the results by trust.</t>
  </si>
  <si>
    <t xml:space="preserve">The system of claim 1, further comprising a verifier configured to extract each assertion from machine-generated text and to classify it, before the text is delivered to a reader, as verified where its fingerprint matches a certified Fact Unit, as contradicted where a certified Fact Unit has the same subject and predicate and a different object, the verifier citing the higher-trust Fact Unit, and as unknown where no candidate Fact Unit exists.</t>
  </si>
  <si>
    <t xml:space="preserve">The system of claim 1, further comprising a federation interface by which a Fact Unit certified in a first domain is admitted into a second domain only after the second domain re-validates its signature and its trust against the second domain’s authority ceilings.</t>
  </si>
  <si>
    <t xml:space="preserve">The system of claim 1, wherein a payload of a sealed Fact Unit is encrypted under a key held outside the system, and the Fact Unit is erased by destroying said key while the content-addressed store otherwise remains append-only.</t>
  </si>
  <si>
    <t xml:space="preserve">The system of claim 1, wherein each Fact Unit is serialized as a packet comprising a header, the nucleus, the semantic fingerprint, the confidence, its sources, the certification, temporal fields, the provenance reference with a digital signature, safety fields and typed links, and wherein packets are appended to content-addressed blocks under a fingerprint index such that a Fact Unit having an identical fingerprint is stored once.</t>
  </si>
  <si>
    <t xml:space="preserve">The system of claim 1, wherein the safety plane is a domain penetrating every other domain of the system and owns a transfer matrix governing each permitted movement of data between domains and a path-separation invariant, and wherein a rule prohibits withholding information a requester is entitled to receive as a means of avoiding a harm determination.</t>
  </si>
  <si>
    <t xml:space="preserve">The system of claim 1, further comprising an adaptive response engine configured to analyze a result set, resolve a profile of the requester, assemble a response directive and a vocabulary constraint limited to terms traceable to the contributing Fact Units, and fix the directive before generation begins, generation proceeding under the directive without renegotiation.</t>
  </si>
  <si>
    <t xml:space="preserve">The system of claim 1, wherein the grounded-generation stage renders a response in any of a plurality of natural languages directly from the same language-independent Fact Units, without per-language re-ingestion and without translating a previously generated response, each rendering being subject to the same citation requirement.</t>
  </si>
  <si>
    <t xml:space="preserve">The system of claim 1, further comprising a governed agent runtime in which an agent instance created from a registered blueprint holds authority bounded by its commissioner, each action of the agent being permitted only within the intersection of an action template of the blueprint and the commissioner’s entitlement and being evaluated by governance before execution, denied actions being logged, and the commissioner holding an unconditional control to halt or revoke the agent instance.</t>
  </si>
  <si>
    <t xml:space="preserve">The system of claim 1, deployable in each of a cloud, a local-server, a hybrid, a single-device and an edge topology, wherein the safety plane, a transfer matrix, path separation, provenance and a governed agent runtime form a common layer that is identical across said topologies.</t>
  </si>
  <si>
    <t xml:space="preserve">The system of claim 1, wherein a Fact Unit transmitted over a TCP/IP network carries, between a transport header and a payload, an optional semantic header comprising its identifier, a provenance reference and its confidence, an endpoint not participating in the semantic header ignoring it.</t>
  </si>
  <si>
    <t xml:space="preserve">The system of claim 1, further comprising a convergence layer configured to resolve a candidate set of Fact Units to a stable configuration by a deterministic iterative update that monotonically decreases an energy over the configuration, the number of stored configurations being held below a capacity ceiling, and no value being sampled.</t>
  </si>
  <si>
    <t xml:space="preserve">A computer-implemented method of answering a query, comprising: receiving a query expressed in a natural language; resolving the query to canonical subject and predicate identifiers; executing, over a store of immutable Fact Units each encoding one assertion and carrying a content-derived fingerprint, a confidence, a certification, a provenance reference and an in-record safety classification, a query that combines a structural pattern with a trust threshold during traversal; composing an answer only from the Fact Units returned, with a citation to each contributing Fact Unit and a provenance value binding the answer to those Fact Units; returning an indication that the answer is unknown where no Fact Unit satisfies the query; and rendering the answer in the natural language of the query, every step being gated by a safety plane that governs every output of the system.</t>
  </si>
  <si>
    <t xml:space="preserve">A computer-implemented method of governing machine-generated content, comprising: receiving text generated by a generative process; extracting from the text a plurality of assertions; for each assertion, computing a language-independent semantic fingerprint over a normalized subject, predicate, object and polarity of the assertion; classifying the assertion as verified where the fingerprint matches a certified Fact Unit, as contradicted where a certified Fact Unit has the same subject and predicate and a different object, and as unknown otherwise; and delivering the text to a reader only together with said classifications and, for each contradicted assertion, a citation to the contradicting Fact Unit having the higher trust.</t>
  </si>
  <si>
    <t xml:space="preserve">A non-transitory computer-readable medium storing instructions which, when executed by one or more processors, cause the one or more processors to perform the method of claim 18.</t>
  </si>
  <si>
    <t xml:space="preserve">A computer-implemented system for hierarchical developmental language acquisition, comprising: a sub-language priming module configured to establish acoustic phonetic discrimination, phonemic awareness, prosodic sensitivity, communication-science foundations, information-theoretic signal weighting, and neurolinguistic chunking in a machine learning model prior to language corpus training; a Language Expression Layer (LEL) comprising a trained neural model configured to acquire, as internalized learned parameters, linguistic capabilities including phonetics, phonology, morphology, grammar, syntax, semantics, idiomatic expressions, and pronunciation across one or more languages from a training corpus, without reliance on external dictionaries, rule-based grammar modules, pronunciation databases, or language packs; and a transition gate mechanism configured to enforce a two-phase learning sequence in which a first phase of structural-acoustic learning completes and four readiness thresholds are satisfied before a second phase of semantic and communicative learning commences.</t>
  </si>
  <si>
    <t xml:space="preserve">The system of claim 21, wherein the four thresholds comprise: a phonemic inventory completeness threshold measuring reliable discrimination of phonemically contrastive signals; a lexical stability threshold measuring consistent word-sound identification across varying acoustic conditions; a co-occurrence density threshold measuring accumulation of sound-context pairings sufficient for statistical grounding; and a pattern saturation threshold measuring diminishing novel structural-pattern discovery.</t>
  </si>
  <si>
    <t xml:space="preserve">The system of claim 21, wherein the training corpus comprises multilingual text, phonetic data and transcriptions, pronunciation patterns, grammar structures, semantic alignment datasets, speech corpora, grapheme-to-phoneme mappings, phonology datasets, and multimedia sources comprising motion pictures, television, and dialogue recordings.</t>
  </si>
  <si>
    <t xml:space="preserve">The system of claim 21, wherein semantic alignment data within the training corpus is suppressed during the first phase and activated only upon satisfaction of all four thresholds.</t>
  </si>
  <si>
    <t xml:space="preserve">The system of claim 21, wherein during the first phase words are processed as stable acoustic objects without semantic association, and the second phase commences upon the system's derivation from the corpus that word units produce structured responses in social-interaction contexts.</t>
  </si>
  <si>
    <t xml:space="preserve">A computer-implemented method for accelerated multilingual language acquisition comprising: acquiring a first language (L1) through a complete developmental sequence comprising sub-language priming, structural-acoustic learning, transition-gate evaluation, and semantic-communicative learning; establishing from L1 a foundation comprising phonemic discrimination, prosodic sensitivity, morphological awareness, communicative understanding, grammatical meta-knowledge, and a semantic concept inventory; upon initiating a second language (L2), identifying a delta comprising phonemic, grammatical, morphological, and semantic elements present in L2 but absent from L1; and acquiring the delta while reusing the L1 foundation for transferable elements, thereby accelerating L2 acquisition relative to L1.</t>
  </si>
  <si>
    <t xml:space="preserve">The method of claim 26, further comprising accessing a multilingual semantic alignment dataset to identify, for each L2 lexical item, whether a corresponding concept exists in the L1 inventory, and where it exists, grounding the L2 item in the existing concept rather than constructing a new one.</t>
  </si>
  <si>
    <t xml:space="preserve">The method of claim 26, wherein acquisition of each successive language beyond L2 generally requires a smaller delta than the preceding acquisition, producing an accelerating multilingual dynamic, subject to detection and targeted retraining of negative-transfer cases between particular language pairs.</t>
  </si>
  <si>
    <t xml:space="preserve">The method of claim 26, wherein phonemes present in L2 but absent from the L1 inventory are identified and subjected to targeted phonemic retraining, while shared phonemes are transferred without retraining.</t>
  </si>
  <si>
    <t xml:space="preserve">A computer-implemented speech output pipeline configured to produce natural acoustic speech from internalized learned parameters, comprising: a lexical selection stage selecting output word forms from an internalized lexical-semantic space without dictionary lookup; a grapheme-to-phoneme conversion stage producing context-sensitive phoneme sequences from internalized mappings; a coarticulation modeling stage modifying the phoneme sequence for acoustic influence of adjacent phonemes; a prosody generation stage producing prosodic parameters at syllable, word, phrase, sentence, and discourse levels from internalized representations; a register and affect calibration stage; a self-monitoring feedback stage evaluating generated output against internalized acoustic targets and naturalness distributions and applying corrections prior to external output; and a neural vocoder stage rendering acoustic targets, prosodic contours, and affect parameters as a natural speech waveform.</t>
  </si>
  <si>
    <t xml:space="preserve">The pipeline of claim 30, wherein the coarticulation stage is trained on speech corpora and multimedia dialogue comprising naturalistic connected speech at varying rates, registers, and acoustic conditions.</t>
  </si>
  <si>
    <t xml:space="preserve">The pipeline of claim 30, wherein prosody generation at all five levels is derived exclusively from internalized representations, without a rule-based prosody system.</t>
  </si>
  <si>
    <t xml:space="preserve">The pipeline of claim 30, wherein the self-monitoring stage is an internal closed feedback loop executing prior to any external output.</t>
  </si>
  <si>
    <t xml:space="preserve">A system for co-grounded integration of natural-language understanding with federated data query execution, comprising: a Language Expression Layer performing lexical, morphological, syntactic, and semantic analysis of natural-language input in any supported language; a Federated Query Language (FQL) interface resolving LEL semantic representations to FQL operations against a Universal Federated Connectivity System (UFCS); a UFCS executing FQL queries across federated sources and returning structured results; and a rendering pathway rendering results as natural-language output in the language of the original input, optionally via a speech output pipeline.</t>
  </si>
  <si>
    <t xml:space="preserve">The system of claim 34, wherein natural-language input in any supported language resolves to an equivalent FQL operation, such that the FQL execution layer is language-agnostic and returns equivalent results regardless of input language.</t>
  </si>
  <si>
    <t xml:space="preserve">The system of claim 34, wherein the co-grounding comprises a structural correspondence between LEL linguistic representations grounded in entities, relationships, and events and FQL formal representations of entities, relationships, and operations, said correspondence realized as a hybrid of an emergent consequence of the developmental learning sequence and an explicit semantic-alignment mapping layer.</t>
  </si>
  <si>
    <t xml:space="preserve">The system of claim 34, wherein the LEL acquires all linguistic capabilities as internalized learned parameters without external dictionaries, rule-based modules, or language packs, such that natural-language understanding is fully self-contained within the LEL model.</t>
  </si>
  <si>
    <t xml:space="preserve">The system of claim 21, further comprising the speech output pipeline of claim 30, driven exclusively by learned parameters internalized within the LEL.</t>
  </si>
  <si>
    <t xml:space="preserve">The system of claim 21, further comprising the co-grounded integration system of claim 34, wherein the LEL serves as the shared neural foundation for both language acquisition and natural-language query resolution.</t>
  </si>
  <si>
    <t xml:space="preserve">The system implementing the method of claim 26, wherein multilingual L2+ acquisition extends the language-agnostic query layer of claim 34 to each acquired language without modification of the FQL or UFCS architecture.</t>
  </si>
  <si>
    <t xml:space="preserve">A computer-implemented pronunciation subsystem comprising: a selector configured to determine, for a supplied word or phrase in a selected language, whether a phonemizer component is available; a phonemizer path that, when the phonemizer is available, obtains a phonemic transcription therefrom; a rule path comprising, for each of a plurality of languages, an ordered set of longest-match grapheme-to-phoneme rules that, when the phonemizer is unavailable, produces an approximate phonemic transcription; and a derivation stage producing a syllable count and a primary-stress position from the transcription; wherein, when neither the phonemizer nor a rule set is available for the selected language, the subsystem returns an explicit null result and does not fabricate a transcription, such that a deterministic transcription is produced offline without any installed engine whenever a rule set exists.</t>
  </si>
  <si>
    <t xml:space="preserve">The subsystem of claim 41, wherein phonemizer invocations are memoized in a cache and bounded by a timeout such that no invocation blocks an interactive interface, and the syllable count is derived from vowel nuclei of the transcription and the primary-stress position from stress marks of the phonemizer or, for the rule path, from a per-language stress rule.</t>
  </si>
  <si>
    <t xml:space="preserve">The subsystem of claim 41, further comprising a phrase-level transcription stage that transcribes an entire phrase in a single phonemizer invocation, such that a phonetic transcription presented for display is identical to the transcription from which an audio waveform is subsequently synthesized, thereby preventing divergence between a displayed transcription and spoken output.</t>
  </si>
  <si>
    <t xml:space="preserve">A computer-implemented speech-output system configured for operation on a machine lacking any previously installed speech facility, comprising a self-contained application bundle that includes, within the application, an open-source speech engine, its runtime-support libraries, and its phoneme data, the system configured to synthesize language-correct audio offline without installation, account, or network service.</t>
  </si>
  <si>
    <t xml:space="preserve">The system of claim 44, further comprising an engine-selection ladder configured to select, per operating system and per language, among the bundled open-source speech engine, a host operating-system built-in voice service, and a culture-matched operating-system voice where installed, and to report which engine produced each waveform; wherein, when no voice exists for the selected language, the system returns a refusal with a remedial instruction and does not fabricate audio.</t>
  </si>
  <si>
    <t xml:space="preserve">The system of claim 44, wherein the speech engine is addressed through a role interface and is substitutable with a different speech engine without altering the determinism or provenance guarantees of the system.</t>
  </si>
  <si>
    <t xml:space="preserve">A computer-implemented translation method comprising: rendering text between a first language and a second language word-by-word through a bundled bilingual dictionary; passing through unchanged, and flagging, each word absent from the dictionary rather than estimating a rendering therefor; and reporting a coverage measure indicating a proportion of words rendered from the dictionary; the method performed deterministically and without a large language model such that the rendering is auditable word-by-word.</t>
  </si>
  <si>
    <t xml:space="preserve">The method of claim 47, further comprising determining a language of supplied text deterministically by scoring the text against each of a plurality of bundled dictionaries and reporting a ranked estimate with a confidence value.</t>
  </si>
  <si>
    <t xml:space="preserve">A computer-implemented quality-control method for a pronunciation and speech subsystem, comprising, for each of a plurality of languages and without a large language model: verifying that a phonemic transcription is produced for a set of known words; verifying that a computed syllable count lies within a bounded tolerance of an expected value; verifying that a phrase synthesizes to a valid audio waveform comprising a well-formed container of non-trivial length and decodable duration; and returning a per-language report together with an overall pass score, the method being deterministic and locally executed such that it provides a standing, reproducible verification of the subsystem.</t>
  </si>
  <si>
    <t xml:space="preserve">The subsystem of claim 41, the system of claim 44, and the methods of claims 47 and 49, wherein each pronunciation, speech, translation, detection, and verification operation is performed without any large language model and each asserted datum is written as a provenance-tracked record carrying an auditable source.</t>
  </si>
  <si>
    <t xml:space="preserve">A voiceprint identity system comprising: an acoustic feature extractor and a speaker-embedding model producing, from a captured utterance, a fixed-length voiceprint; a store holding voiceprints as entities in a content-addressed, provenance-tracked fact graph; a matcher producing a similarity score between a new voiceprint and stored voiceprints; and a trust gate configured to assert a link between a person entity and a voiceprint entity, as a provenance-tracked and trust-scored record, only when the similarity score satisfies a configured threshold and no conflicting assertion exists, and otherwise to return an unknown result asserting no identity, and to return a contradicted result surfacing each candidate without selecting one when two person entities satisfy the threshold for one voiceprint, such that the system asserts no identity it has not verified.</t>
  </si>
  <si>
    <t xml:space="preserve">The system of claim 51, wherein the fact graph further links to a common person entity one or more face embeddings derived from images or video frames and, for video, time-aligned to the speech segment from which the voiceprint was derived, together with textual entities comprising names, electronic-mail addresses, telephone numbers, websites, social handles, and organizations, each link carrying an auditable source and a trust value.</t>
  </si>
  <si>
    <t xml:space="preserve">The system of claim 51, further comprising a deterministic language-normalization subsystem that resolves person names and textual entities across differing scripts and languages and merges person entities that differ only in spelling or script.</t>
  </si>
  <si>
    <t xml:space="preserve">The system of claim 51, wherein capture of an utterance for enrollment or profiling is gated by a recorded, revocable consent record, and revocation of consent disables matching for the associated voiceprint and triggers retention cleanup.</t>
  </si>
  <si>
    <t xml:space="preserve">A computer-implemented voice-authentication method comprising: receiving a claimed-identity verification request; capturing and embedding a spoken phrase to produce a verification voiceprint; computing a similarity score against a stored voiceprint and one or more anti-spoofing signals; combining the score and signals by a deterministic risk-scoring policy having published weights; and returning, from a decision gate, one of accept, challenge requiring a second authentication factor, and reject; wherein the gate returns no accept when the score is below a configured threshold, a borderline case yields a challenge rather than an acceptance, and each decision is recorded as a provenance-tracked event reproducible from the fixed policy and the stored inputs.</t>
  </si>
  <si>
    <t xml:space="preserve">The method of claim 55, wherein the anti-spoofing signals comprise a liveness signal, a replay-artifact signal, and a synthetic-or-deepfake-voice signal, each contributing to the risk score.</t>
  </si>
  <si>
    <t xml:space="preserve">The system of claim 51, wherein the speaker-embedding model, the matcher, and the trust gate execute on a device without a network connection for a bounded population of voiceprints, the fact graph being partitioned by domain.</t>
  </si>
  <si>
    <t xml:space="preserve">The system of claim 51 and the method of claim 55, wherein no large language model asserts an identity, each asserted link and each decision carries an auditable source and trust value, and identity assertions are deterministic and reproducible given the stored voiceprints.</t>
  </si>
  <si>
    <t xml:space="preserve">An integrity-audit system attachable to a monitored system without modification thereof, comprising: one or more agents configured to observe observable events at one or more positions in a workflow of the monitored system; a sealing component configured to write, at the moment of observation, each observed event as a content-addressed record appended to an append-only ledger, the record comprising a content hash, a one-way non-recoverable submitter-identity hash, a timestamp from a clock independent of the monitored system, a source-system fingerprint, and an identity of the sealing agent; a similarity component configured to set, at ingestion, a contemporaneous anomaly indicator in the record when a content-signature similarity between records of differing submitter identities within a configurable time window exceeds a threshold, without storing submission content; and a verification component configured to re-verify the records continuously and to record any verification failure as a new sealed record.</t>
  </si>
  <si>
    <t xml:space="preserve">The system of claim 59, wherein each sealed record is a provenance-tracked, content-addressed fact in a de-duplicated append-only store, immutable and reproducible from its inputs, such that post-production modification of any record is detectable.</t>
  </si>
  <si>
    <t xml:space="preserve">The system of claim 59, wherein the similarity component operates on semantic content representations that detect paraphrased, translated, or reformatted copies of underlying content across differing submitter identities, and retains no recoverable submission content.</t>
  </si>
  <si>
    <t xml:space="preserve">The system of claim 59, wherein no recoverable submitter-identifying information is retained, all submitter and session references in sealed records being one-way cryptographic hashes.</t>
  </si>
  <si>
    <t xml:space="preserve">A computer-implemented method of producing evidence responsive to a dispute concerning a monitored system, comprising, by a service independent of and not controlled by the monitored system: retrieving sealed records from an append-only ledger and verifying their seals; obtaining a cross-submission similarity-log entry and a chronological ledger extract bound to the records by a response-provenance hash; producing a factual determination from the sealed record set by a gate that asserts only conclusions entailed by the sealed records and otherwise returns an unknown result, the gate making no legal determination; and assembling and signing a proof package under the service's independent identity; the produced evidence being independent of the monitored system, produced before the dispute, tamper-evident, complete across the observed positions, and structured for admissibility in legal, regulatory, and arbitration proceedings.</t>
  </si>
  <si>
    <t xml:space="preserve">The method of claim 63, wherein the factual determination applies sector-configured rules selected from first-to-file priority, submission-timestamp priority, transaction-timing rules, and ticket-sequencing rules.</t>
  </si>
  <si>
    <t xml:space="preserve">The system of claim 59, wherein the agents are deployed at an input-boundary position, a processing-layer position, a storage-layer position, an output-boundary position, and an inter-system-handoff position, and the sealed records across the positions form a complete chain of custody spanning a submission's lifecycle from entry to output.</t>
  </si>
  <si>
    <t xml:space="preserve">The system of claim 59 and the method of claim 63, wherein the sealing, similarity, verification, and factual-determination operations are performed deterministically and reproducibly, the service asserts no determination it cannot derive from the sealed records, and no large language model asserts a sealed fact or a determination.</t>
  </si>
  <si>
    <t xml:space="preserve">A computer-implemented interpretation system comprising: a paralinguistic analyzer configured to compute, from a speech signal, measured acoustic readings comprising loudness, pitch, speaking rate, and pause structure, and to derive therefrom a labeled affect estimate carrying a confidence value and a label designating it an estimate rather than an assertion of a speaker's feelings; a pragmatic framer configured to apply, from provenance-tracked frame resources, annotations for context, perspective, ergonomics, culture, and social mores, each annotation carrying a source and a trust value and any undetermined dimension being marked unknown; and a component configured to combine the readings and annotations into an interpretation frame recorded as provenance-tracked records.</t>
  </si>
  <si>
    <t xml:space="preserve">The system of claim 67, wherein the interpretation frame is applied to a voice ingested by the system and is recorded as provenance-tracked facts associated with the ingested content, no estimate of affect being stored as an assertion of fact.</t>
  </si>
  <si>
    <t xml:space="preserve">The system of claim 67, further configured to interpret a human query by producing an interpretation frame for the query and disambiguating an intent of the query from the context and perspective annotations.</t>
  </si>
  <si>
    <t xml:space="preserve">The system of claim 69, further comprising an ambiguity gate configured to, when the intent remains materially uncertain, return a single clarifying question and halt rather than select an interpretation.</t>
  </si>
  <si>
    <t xml:space="preserve">The system of claim 69, further comprising a selector configured to set a register and a delivery mode of a response from the culture, social-mores, and ergonomics annotations, including formality, honorifics, and whether the response is delivered as concise speech or as structured output for an assistive modality.</t>
  </si>
  <si>
    <t xml:space="preserve">The system of claim 69, wherein a response to the query is composed from verified facts retrieved from a store and gated by a cite-or-refuse gate, the interpretation determining which question is answered and the register in which it is phrased but not the facts of the answer.</t>
  </si>
  <si>
    <t xml:space="preserve">The system of claim 67, wherein the pragmatic frame resources are pluggable packs partitioned by locale, language, and domain, each annotation citing the pack that produced it, and an absent pack yielding an unknown annotation rather than an inferred one.</t>
  </si>
  <si>
    <t xml:space="preserve">The system of claim 67, wherein the acoustic readings and any model-proposed candidate interpretation are presented as labeled estimates and never as asserted fact, the framing, gating, register selection, and provenance are deterministic, and no large language model sets the facts of any answer.</t>
  </si>
  <si>
    <t xml:space="preserve">A computer-implemented method of ingesting a spoken program into a knowledge library, comprising: receiving a live or recorded audio or video program; transcribing and diarizing the program into a time-coded transcript; analyzing the program to produce a paralinguistic track over time and a semantic structure with extracted claims; producing a deterministic summary comprising a table of contents, key points, and a claim list; and ingesting the transcript, summary, paralinguistic track, and extracted claims into the library as a content-addressed record, wherein each extracted claim is stored as an attributed utterance fact identifying the speaker, event, and time of the claim and is not asserted as a true fact of the world by virtue of having been spoken.</t>
  </si>
  <si>
    <t xml:space="preserve">The method of claim 75, further comprising linking the record, by immutable provenance-tracked links, to a speaker entity, a venue entity, an event entity, an organization entity, and a date, such that the record is permanently attributed.</t>
  </si>
  <si>
    <t xml:space="preserve">The method of claim 76, wherein the speaker entity is resolved by a trust-gated voiceprint and, for a video program, a face embedding, a speaker link being asserted only when a match satisfies a threshold and otherwise being recorded as unknown rather than guessed.</t>
  </si>
  <si>
    <t xml:space="preserve">The method of claim 75, further comprising gating each attributed claim against the library to classify it as corroborated, contradicted, or open relative to other records, without altering the attributed claim itself.</t>
  </si>
  <si>
    <t xml:space="preserve">The method of claim 75, wherein the paralinguistic track comprises measured loudness, pitch, and pacing and a labeled affect estimate over the duration of the program, each presented as an estimate and never as an assertion of the speaker's feelings.</t>
  </si>
  <si>
    <t xml:space="preserve">The method of claim 75, further comprising answering a subsequent query over the record with passages cited to the record and attributed to the speaker, and refusing where the library does not support an answer.</t>
  </si>
  <si>
    <t xml:space="preserve">The method of claim 75, wherein capture of the program for speaker biometric linking is gated by a recorded, revocable consent, and the original media is retained only as permitted by that consent and may be cryptographically sealed for integrity without exposing its content.</t>
  </si>
  <si>
    <t xml:space="preserve">The method of claim 75, wherein the transcript is treated as untrusted input presented for confirmation, the summary adds no facts beyond those extracted from the program, and no large language model asserts a claim or an attribution.</t>
  </si>
  <si>
    <t xml:space="preserve">A computer-implemented method wherein, for each of a plurality of natural languages, a vocabulary, a phonological representation and grammatical regularities are acquired from public-domain corpora and a governed bilingual dictionary by a deterministic per-language learning process, no generative language model participating in asserting any linguistic fact, and each acquired lexical record being provenance-tracked and reproducible from the same inputs.</t>
  </si>
  <si>
    <t xml:space="preserve">The method of claim 83, further comprising deriving a phonetic transcription for an acquired lexical item and verifying said transcription against a reference phonemizer, a transcription failing said verification being withheld rather than asserted.</t>
  </si>
  <si>
    <t xml:space="preserve">A computer-implemented method comprising maintaining a declared, versioned dialect parameter cluster comprising phonological, lexical and orthographic parameters, and deterministically attributing an input utterance to a dialect by a parameter-match score, wherein said cluster modulates expression only and never alters admission, applicability scope, confidence, or a governed vocabulary.</t>
  </si>
  <si>
    <t xml:space="preserve">A computer-implemented method comprising compiling a grounded scene representation derived from knowledge records into a validated prompt bundle for an external generative media engine, admitting any media returned by said engine solely as a derived artifact marked as a reconstruction, and excluding said derived artifact from use as a grounding source.</t>
  </si>
  <si>
    <t xml:space="preserve">The method of claim 86, wherein a credential for said external generative media engine is held on a server side of a query/presentation boundary and is never transmitted to a requesting client, the server serving the generated media to the client by an opaque identifier such that the credential does not cross said boundary.</t>
  </si>
  <si>
    <t xml:space="preserve">The method of claim 86, further comprising deriving from a prose source, by a deterministic procedure, a shot sequence, a timed prompt sequence and pacing cues, and rendering a participant that is not an identified subject as a silhouette so that no unverified identity is fabricated.</t>
  </si>
  <si>
    <t xml:space="preserve">A computer-implemented method comprising deploying the system as one of a plurality of nested capability editions selected at launch, each edition enabling a declared subset of subsystems while leaving a prime-directive safety plane and a deterministic reasoning core invariant across editions.</t>
  </si>
  <si>
    <t xml:space="preserve">A computer-implemented method comprising maintaining a knowledge store at a canonical location independent of a deployment software version so that successive versions bind to the same provenance-tracked records, and refusing to substitute an empty store where a populated store exists, whereby a version change does not re-initialize or orphan the records.</t>
  </si>
  <si>
    <t xml:space="preserve">A computer-implemented method comprising a lecture-query interaction mode in which a submitted audio or video program is transcribed and ingested, each extracted claim being stored as an attributed-utterance record forever-linked to a speaker identity, a venue, an event and a date and remaining gate-verifiable against the knowledge records as corroborated, contradicted, or open, said record never being promoted to world-truth, any tone or emotion being recorded as a labeled estimate, and any biometric linking of the speaker being gated by explicit consent.</t>
  </si>
  <si>
    <t xml:space="preserve">A computer-implemented method of media processing comprising extracting, from a surface representation of media comprising at least one of pixels and a waveform, a meaning representation comprising content-addressed, provenance-tracked knowledge records, and storing said knowledge records in place of the surface representation, such that a stored size grows with an information content of the media rather than with a resolution, frame rate, or duration of the surface representation.</t>
  </si>
  <si>
    <t xml:space="preserve">The method of claim 92, further comprising regenerating a surface representation at an arbitrary target resolution or modality from said knowledge records, wherein compression and regeneration operate over the same knowledge records such that repeated transformation introduces no generational quality loss, and wherein any regenerated region not present in a source asset is marked as introduced and is inadmissible as a grounding source.</t>
  </si>
  <si>
    <t xml:space="preserve">The method of claim 92, further comprising assigning a color to a region only from a material-property fact asserted by an admitted knowledge record, computed deterministically such that identical inputs yield an identical color and the color is traceable to the record from which it was derived, and delivering a region uncolored where no admitted record supports a color inference.</t>
  </si>
  <si>
    <t xml:space="preserve">The method of claim 92, further comprising regenerating higher-resolution surface detail from said knowledge records as a marked reconstruction whose confidence is bounded by the lesser of an observed confidence and a stored confidence, and, where a regeneration does not converge, producing no reconstruction for the affected region and reporting the gap.</t>
  </si>
  <si>
    <t xml:space="preserve">The method of claim 92, wherein a transformation carries a provenance of the asset it transformed; a lossless transformation leaves the source asset citable while a lossy transformation is marked with a compression class and assumed presentation conditions and a citation resolves to the source asset; and no compression ratio or efficiency figure is asserted, any such figure being obtained by measurement under a trial architecture and reported per asset class.</t>
  </si>
  <si>
    <t xml:space="preserve">A computer-implemented method of ingesting an artifact of arbitrary format, comprising: identifying a format of the artifact from a content signature of the artifact; decomposing the artifact into a plurality of segments each carrying a source locator identifying a location within the artifact; screening each segment for embedded text addressed to an automated agent; converting each segment, treated as data and without executing any content of the artifact, into one or more knowledge records each carrying said source locator and a hash of the artifact as provenance; admitting a record derived from a segment flagged by said screening only as an untrusted record having a trust value below a threshold at which the system uses a record to answer a query; and sealing each admitted record by content addressing.</t>
  </si>
  <si>
    <t xml:space="preserve">The method of claim 97, wherein ingestion requested by an automated agent is confined to a designated inbox location, and a requested path outside said location, including a path resolving outside it through a link or relative component, is refused and recorded.</t>
  </si>
  <si>
    <t xml:space="preserve">A computer-implemented method of certifying knowledge, comprising: sealing a knowledge object by computing a content hash; recording, by a non-fungible token contract on a public blockchain that permits exactly one token per content hash, a token whose on-chain metadata comprises said content hash and an object kind; and verifying, by a party without access to the issuing system, an object held by that party by recomputing its content hash and checking said hash against the blockchain.</t>
  </si>
  <si>
    <t xml:space="preserve">The method of claim 99, wherein a token names a parent token recording that its object derives from the object of the parent token, and wherein the issuer revokes a token by a time-stamped chain event, said verifying reporting whether the certificate is current or revoked.</t>
  </si>
  <si>
    <t xml:space="preserve">A computer-implemented method of protecting a knowledge system and the automated agents that use it, comprising: routing every call from an automated agent through a gateway that authenticates the caller and applies a caller-specific allow-list; maintaining among the system’s interfaces reserved commands that are never listed to callers, reserved paths and acts, and canary credentials used by no legitimate process; upon a call touching any of said reserved commands, paths, acts or credentials, isolating the caller by diverting its subsequent calls to a synthetic decoy environment having no code path to production records, credentials or actions and answering in the formats of the production interface; and recording every act of the isolated caller in a tamper-evident record.</t>
  </si>
  <si>
    <t xml:space="preserve">The method of claim 101, wherein the isolated caller is identified by a client key formed from properties of its connection rather than from a caller-supplied identity, such that a caller claiming the identity of a legitimate agent isolates only its own connection.</t>
  </si>
  <si>
    <t xml:space="preserve">The method of claim 101, wherein release from isolation is available only to an operator at a local console and through no network interface, and wherein the method initiates no action against any source system.</t>
  </si>
  <si>
    <t xml:space="preserve">A computer-implemented method of maintaining a tamper-evident security record, comprising: appending each security-relevant event to a hash chain in which each entry carries a hash of the preceding entry; forming, over entries since a preceding checkpoint, a Merkle checkpoint that is signed, chained to the preceding checkpoint, and written by an exclusive-create operation with read-only permissions; and verifying the record by recomputing each entry hash from the content of the entry, recomputing each Merkle root, and checking chain links and signatures, and producing an inclusion proof that a given entry is in a given checkpoint.</t>
  </si>
  <si>
    <t xml:space="preserve">The method of claim 104, further comprising copying each checkpoint to an off-host mirror and anchoring its root on a public blockchain, and producing an assurance report stating which properties were checked and which could not be checked.</t>
  </si>
  <si>
    <t xml:space="preserve">A computer-implemented method of transporting knowledge records and media over TCP/IP, comprising: packing records, queries, answers and media into frames each having a header of fixed fields comprising a payload type, a length and a sequence number, and a payload compressed by a method selected according to the payload type, followed by a checksum and optionally a signature; carrying said frames over a TCP/IP connection on separate priority lanes such that a record or query frame is not queued behind a media frame; and at a receiver discarding a frame failing its checksum or signature and resynchronizing on a next valid header.</t>
  </si>
  <si>
    <t xml:space="preserve">The method of claim 106, further comprising rebuilding media received in said frames into at least one of an HLS, a DASH and an RTMP stream, verifying a rebuilt manifest against the frames received, and refusing a manifest entry naming a path outside an output location.</t>
  </si>
  <si>
    <t xml:space="preserve">The method of claim 94, wherein the color is assigned with a confidence equal to the lesser of a region-classification confidence and a trust of said record, a region whose confidence is below a threshold is delivered uncolored, a source luminance is preserved such that only chrominance is added, the output is marked as reconstructed, and a consistency check compares a blurred luminance of the output with that of the source.</t>
  </si>
  <si>
    <t xml:space="preserve">Section</t>
  </si>
  <si>
    <t xml:space="preserve">Paragraphs</t>
  </si>
  <si>
    <t xml:space="preserve">Section I — System Architecture and the Prime Directive (FIG. 1)</t>
  </si>
  <si>
    <t xml:space="preserve">[0007]–[0010]</t>
  </si>
  <si>
    <t xml:space="preserve">FIG. 1</t>
  </si>
  <si>
    <t xml:space="preserve">Section II — The Fact Unit (FIG. 2, FIG. 19)</t>
  </si>
  <si>
    <t xml:space="preserve">[0011]–[0015]</t>
  </si>
  <si>
    <t xml:space="preserve">FIG. 2, FIG. 19</t>
  </si>
  <si>
    <t xml:space="preserve">Section III — The UFCS Substrate and Record Format (FIG. 4, FIG. 20, FIG. 21)</t>
  </si>
  <si>
    <t xml:space="preserve">[0016]–[0018]</t>
  </si>
  <si>
    <t xml:space="preserve">FIG. 4, FIG. 20, FIG. 21</t>
  </si>
  <si>
    <t xml:space="preserve">Section IV — Certification and the Federated Query Language (FIG. 3, FIG. 6, FIG. 22)</t>
  </si>
  <si>
    <t xml:space="preserve">[0019]–[0022]</t>
  </si>
  <si>
    <t xml:space="preserve">FIG. 3, FIG. 6, FIG. 22</t>
  </si>
  <si>
    <t xml:space="preserve">Section V — Verification and Grounded Response Generation (FIG. 7, FIG. 13)</t>
  </si>
  <si>
    <t xml:space="preserve">[0023]–[0025]</t>
  </si>
  <si>
    <t xml:space="preserve">FIG. 7, FIG. 13</t>
  </si>
  <si>
    <t xml:space="preserve">Section VI — Federation and Fact-Level Erasure (FIG. 8, FIG. 9)</t>
  </si>
  <si>
    <t xml:space="preserve">[0026]–[0027]</t>
  </si>
  <si>
    <t xml:space="preserve">FIG. 8, FIG. 9</t>
  </si>
  <si>
    <t xml:space="preserve">Section VII — Governed Agents, Security, Deployment and Application Surfaces (FIG. 10–FIG. 12, FIG. 14, FIG. 48, FIG. 49)</t>
  </si>
  <si>
    <t xml:space="preserve">[0028]–[0032]</t>
  </si>
  <si>
    <t xml:space="preserve">FIG. 10–FIG. 12, FIG. 14, FIG. 48, FIG. 49</t>
  </si>
  <si>
    <t xml:space="preserve">Section VIII — Language Independence, Transport, Media, Presentation and the Cognitive Layer (FIG. 5, FIG. 15–FIG. 18)</t>
  </si>
  <si>
    <t xml:space="preserve">[0033]–[0038]</t>
  </si>
  <si>
    <t xml:space="preserve">FIG. 5, FIG. 15–FIG. 18</t>
  </si>
  <si>
    <t xml:space="preserve">Section IX — The Sub-Language Priming Layer (SLPL) (FIG. 24)</t>
  </si>
  <si>
    <t xml:space="preserve">[0039]–[0040]</t>
  </si>
  <si>
    <t xml:space="preserve">FIG. 24</t>
  </si>
  <si>
    <t xml:space="preserve">Section X — The Language Expression Layer (LEL) (FIG. 23)</t>
  </si>
  <si>
    <t xml:space="preserve">[0041]–[0042]</t>
  </si>
  <si>
    <t xml:space="preserve">FIG. 23</t>
  </si>
  <si>
    <t xml:space="preserve">Section XI — Developmental Learning Sequence and Transition Gate (FIG. 25)</t>
  </si>
  <si>
    <t xml:space="preserve">[0043]–[0045]</t>
  </si>
  <si>
    <t xml:space="preserve">FIG. 25</t>
  </si>
  <si>
    <t xml:space="preserve">Section XII — Multilingual Transfer and the Acquisition Flywheel (FIG. 26)</t>
  </si>
  <si>
    <t xml:space="preserve">[0046]–[0047]</t>
  </si>
  <si>
    <t xml:space="preserve">FIG. 26</t>
  </si>
  <si>
    <t xml:space="preserve">Section XIII — The Speech Output Pipeline (FIG. 27)</t>
  </si>
  <si>
    <t xml:space="preserve">[0048]–[0048]</t>
  </si>
  <si>
    <t xml:space="preserve">FIG. 27</t>
  </si>
  <si>
    <t xml:space="preserve">Section XIV — Co-Grounded Integration with FQL and UFCS (FIG. 28)</t>
  </si>
  <si>
    <t xml:space="preserve">[0049]–[0050]</t>
  </si>
  <si>
    <t xml:space="preserve">FIG. 28</t>
  </si>
  <si>
    <t xml:space="preserve">Section XV — Reduced-to-Practice Embodiment (Structural and Deterministic Semantic Phases) (FIG. 29, FIG. 30) rev 2026-09-30</t>
  </si>
  <si>
    <t xml:space="preserve">[0051]–[0058]</t>
  </si>
  <si>
    <t xml:space="preserve">FIG. 29, FIG. 30</t>
  </si>
  <si>
    <t xml:space="preserve">Section XVI — Reduced-to-Practice Embodiment (Advanced Multilingual Pronunciation, Self-Contained Speech, and Quality Control) (FIG. 31, FIG. 32) rev 2026-10-01</t>
  </si>
  <si>
    <t xml:space="preserve">[0059]–[0063]</t>
  </si>
  <si>
    <t xml:space="preserve">FIG. 31, FIG. 32</t>
  </si>
  <si>
    <t xml:space="preserve">Section XVII — Voiceprint &amp; Multimodal Identity Embodiment: Language &amp; Identity Linking (LIL) (FIG. 33, FIG. 34) rev 2026-10-01</t>
  </si>
  <si>
    <t xml:space="preserve">[0064]–[0068]</t>
  </si>
  <si>
    <t xml:space="preserve">FIG. 33, FIG. 34</t>
  </si>
  <si>
    <t xml:space="preserve">Section XVIII — Universal Integrity Audit Service (UIAS) Embodiment (FIG. 35, FIG. 36) rev 2026-10-01</t>
  </si>
  <si>
    <t xml:space="preserve">[0069]–[0072]</t>
  </si>
  <si>
    <t xml:space="preserve">FIG. 35, FIG. 36</t>
  </si>
  <si>
    <t xml:space="preserve">Section XIX — Paralinguistic &amp; Pragmatic Interpretation Layer (PIL) Embodiment (FIG. 37, FIG. 38) rev 2026-10-02</t>
  </si>
  <si>
    <t xml:space="preserve">[0073]–[0076]</t>
  </si>
  <si>
    <t xml:space="preserve">FIG. 37, FIG. 38</t>
  </si>
  <si>
    <t xml:space="preserve">Section XX — Lecture Query Mode Embodiment (FIG. 39, FIG. 40) rev 2026-10-02</t>
  </si>
  <si>
    <t xml:space="preserve">[0077]–[0080]</t>
  </si>
  <si>
    <t xml:space="preserve">FIG. 39, FIG. 40</t>
  </si>
  <si>
    <t xml:space="preserve">Section XXI — Further Embodiments (FIG. 41–FIG. 47)</t>
  </si>
  <si>
    <t xml:space="preserve">FIG. 41–FIG. 47</t>
  </si>
  <si>
    <t xml:space="preserve">Section XXII — How QueryBook Is Designed to Handle Pictures, Sound, and Video (FIG. 16)</t>
  </si>
  <si>
    <t xml:space="preserve">FIG. 16</t>
  </si>
  <si>
    <t xml:space="preserve">Section XXIII — Agent-Era Extensions: Arbitrary-Artifact Ingestion, On-Chain Certification, Agent Protection and Deception, Tamper-Evident Security Record, Agent Interoperability, and Framed Hybrid Transport (FIG. 50–FIG. 55)</t>
  </si>
  <si>
    <t xml:space="preserve">[0081]–[0107]</t>
  </si>
  <si>
    <t xml:space="preserve">FIG. 50–FIG. 55</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</si>
</sst>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10"/>
      <color rgb="FF595959"/>
      <name val="Arial"/>
      <family val="0"/>
      <charset val="1"/>
    </font>
    <font>
      <b val="true"/>
      <sz val="10"/>
      <color rgb="FFFFFFFF"/>
      <name val="Arial"/>
      <family val="0"/>
      <charset val="1"/>
    </font>
    <font>
      <sz val="10"/>
      <name val="Arial"/>
      <family val="0"/>
      <charset val="1"/>
    </font>
    <font>
      <b val="true"/>
      <sz val="10"/>
      <name val="Arial"/>
      <family val="0"/>
      <charset val="1"/>
    </font>
    <font>
      <i val="true"/>
      <sz val="9"/>
      <color rgb="FF595959"/>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4" fontId="8" fillId="0"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7"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FFF00"/>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44"/>
    <col collapsed="false" customWidth="true" hidden="false" outlineLevel="0" max="6" min="2" style="0" width="16"/>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3" t="s">
        <v>3</v>
      </c>
      <c r="C4" s="3" t="s">
        <v>4</v>
      </c>
      <c r="D4" s="3" t="s">
        <v>5</v>
      </c>
      <c r="E4" s="3" t="s">
        <v>6</v>
      </c>
      <c r="F4" s="3" t="s">
        <v>7</v>
      </c>
    </row>
    <row r="5" customFormat="false" ht="15" hidden="false" customHeight="false" outlineLevel="0" collapsed="false">
      <c r="A5" s="4" t="s">
        <v>8</v>
      </c>
      <c r="B5" s="4" t="n">
        <f aca="false">COUNTIF(Figures!C:C,A5)</f>
        <v>22</v>
      </c>
      <c r="C5" s="4" t="n">
        <f aca="false">COUNTIF(Claims!B:B,A5)</f>
        <v>20</v>
      </c>
      <c r="D5" s="4" t="n">
        <f aca="false">COUNTIFS(Claims!B:B,A5,Claims!C:C,"Independent")</f>
        <v>4</v>
      </c>
      <c r="E5" s="4" t="n">
        <f aca="false">COUNTIF(Sections!B:B,A5)</f>
        <v>8</v>
      </c>
      <c r="F5" s="4" t="n">
        <f aca="false">COUNTIF('Reference Numerals'!D:D,A5)</f>
        <v>123</v>
      </c>
    </row>
    <row r="6" customFormat="false" ht="15" hidden="false" customHeight="false" outlineLevel="0" collapsed="false">
      <c r="A6" s="4" t="s">
        <v>9</v>
      </c>
      <c r="B6" s="4" t="n">
        <f aca="false">COUNTIF(Figures!C:C,A6)</f>
        <v>10</v>
      </c>
      <c r="C6" s="4" t="n">
        <f aca="false">COUNTIF(Claims!B:B,A6)</f>
        <v>30</v>
      </c>
      <c r="D6" s="4" t="n">
        <f aca="false">COUNTIFS(Claims!B:B,A6,Claims!C:C,"Independent")</f>
        <v>8</v>
      </c>
      <c r="E6" s="4" t="n">
        <f aca="false">COUNTIF(Sections!B:B,A6)</f>
        <v>8</v>
      </c>
      <c r="F6" s="4" t="n">
        <f aca="false">COUNTIF('Reference Numerals'!D:D,A6)</f>
        <v>124</v>
      </c>
    </row>
    <row r="7" customFormat="false" ht="15" hidden="false" customHeight="false" outlineLevel="0" collapsed="false">
      <c r="A7" s="4" t="s">
        <v>10</v>
      </c>
      <c r="B7" s="4" t="n">
        <f aca="false">COUNTIF(Figures!C:C,A7)</f>
        <v>8</v>
      </c>
      <c r="C7" s="4" t="n">
        <f aca="false">COUNTIF(Claims!B:B,A7)</f>
        <v>32</v>
      </c>
      <c r="D7" s="4" t="n">
        <f aca="false">COUNTIFS(Claims!B:B,A7,Claims!C:C,"Independent")</f>
        <v>6</v>
      </c>
      <c r="E7" s="4" t="n">
        <f aca="false">COUNTIF(Sections!B:B,A7)</f>
        <v>4</v>
      </c>
      <c r="F7" s="4" t="n">
        <f aca="false">COUNTIF('Reference Numerals'!D:D,A7)</f>
        <v>82</v>
      </c>
    </row>
    <row r="8" customFormat="false" ht="15" hidden="false" customHeight="false" outlineLevel="0" collapsed="false">
      <c r="A8" s="4" t="s">
        <v>11</v>
      </c>
      <c r="B8" s="4" t="n">
        <f aca="false">COUNTIF(Figures!C:C,A8)</f>
        <v>15</v>
      </c>
      <c r="C8" s="4" t="n">
        <f aca="false">COUNTIF(Claims!B:B,A8)</f>
        <v>26</v>
      </c>
      <c r="D8" s="4" t="n">
        <f aca="false">COUNTIFS(Claims!B:B,A8,Claims!C:C,"Independent")</f>
        <v>12</v>
      </c>
      <c r="E8" s="4" t="n">
        <f aca="false">COUNTIF(Sections!B:B,A8)</f>
        <v>3</v>
      </c>
      <c r="F8" s="4" t="n">
        <f aca="false">COUNTIF('Reference Numerals'!D:D,A8)</f>
        <v>86</v>
      </c>
    </row>
    <row r="9" customFormat="false" ht="15" hidden="false" customHeight="false" outlineLevel="0" collapsed="false">
      <c r="A9" s="5" t="s">
        <v>12</v>
      </c>
      <c r="B9" s="4" t="n">
        <f aca="false">SUM(B5:B8)</f>
        <v>55</v>
      </c>
      <c r="C9" s="4" t="n">
        <f aca="false">SUM(C5:C8)</f>
        <v>108</v>
      </c>
      <c r="D9" s="4" t="n">
        <f aca="false">SUM(D5:D8)</f>
        <v>30</v>
      </c>
      <c r="E9" s="4" t="n">
        <f aca="false">SUM(E5:E8)</f>
        <v>23</v>
      </c>
      <c r="F9" s="4" t="n">
        <f aca="false">SUM(F5:F8)</f>
        <v>415</v>
      </c>
    </row>
    <row r="10" customFormat="false" ht="15" hidden="false" customHeight="false" outlineLevel="0" collapsed="false">
      <c r="A10" s="6"/>
      <c r="B10" s="4"/>
      <c r="C10" s="4"/>
      <c r="D10" s="4"/>
      <c r="E10" s="4"/>
      <c r="F10" s="4"/>
    </row>
    <row r="11" customFormat="false" ht="15" hidden="false" customHeight="false" outlineLevel="0" collapsed="false">
      <c r="A11" s="5" t="s">
        <v>13</v>
      </c>
      <c r="B11" s="4" t="n">
        <f aca="false">COUNTIF(Figures!F:F,"Yes")</f>
        <v>0</v>
      </c>
      <c r="C11" s="4" t="n">
        <f aca="false">COUNTIF(Claims!F:F,"Yes")</f>
        <v>20</v>
      </c>
      <c r="D11" s="4" t="n">
        <f aca="false">COUNTIFS(Claims!C:C,"Independent",Claims!F:F,"Yes")</f>
        <v>4</v>
      </c>
      <c r="E11" s="4" t="n">
        <f aca="false">COUNTIF(Sections!E:E,"Yes")</f>
        <v>8</v>
      </c>
      <c r="F11" s="4" t="n">
        <f aca="false">COUNTIF('Reference Numerals'!E:E,"Yes")</f>
        <v>123</v>
      </c>
    </row>
    <row r="13" customFormat="false" ht="15" hidden="false" customHeight="false" outlineLevel="0" collapsed="false">
      <c r="A13" s="7" t="s">
        <v>14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
    <col collapsed="false" customWidth="true" hidden="false" outlineLevel="0" max="2" min="2" style="0" width="52"/>
    <col collapsed="false" customWidth="true" hidden="false" outlineLevel="0" max="3" min="3" style="0" width="16"/>
    <col collapsed="false" customWidth="true" hidden="false" outlineLevel="0" max="4" min="4" style="0" width="34"/>
    <col collapsed="false" customWidth="true" hidden="false" outlineLevel="0" max="5" min="5" style="0" width="14"/>
  </cols>
  <sheetData>
    <row r="1" customFormat="false" ht="23.85" hidden="false" customHeight="false" outlineLevel="0" collapsed="false">
      <c r="A1" s="8" t="s">
        <v>15</v>
      </c>
      <c r="B1" s="8" t="s">
        <v>16</v>
      </c>
      <c r="C1" s="8" t="s">
        <v>17</v>
      </c>
      <c r="D1" s="8" t="s">
        <v>18</v>
      </c>
      <c r="E1" s="8" t="s">
        <v>19</v>
      </c>
    </row>
    <row r="2" customFormat="false" ht="15" hidden="false" customHeight="false" outlineLevel="0" collapsed="false">
      <c r="A2" s="9" t="s">
        <v>20</v>
      </c>
      <c r="B2" s="9" t="s">
        <v>21</v>
      </c>
      <c r="C2" s="9" t="s">
        <v>22</v>
      </c>
      <c r="D2" s="9" t="s">
        <v>9</v>
      </c>
      <c r="E2" s="9" t="s">
        <v>23</v>
      </c>
    </row>
    <row r="3" customFormat="false" ht="15" hidden="false" customHeight="false" outlineLevel="0" collapsed="false">
      <c r="A3" s="9" t="s">
        <v>24</v>
      </c>
      <c r="B3" s="9" t="s">
        <v>25</v>
      </c>
      <c r="C3" s="9" t="s">
        <v>26</v>
      </c>
      <c r="D3" s="9" t="s">
        <v>9</v>
      </c>
      <c r="E3" s="9" t="s">
        <v>23</v>
      </c>
    </row>
    <row r="4" customFormat="false" ht="15" hidden="false" customHeight="false" outlineLevel="0" collapsed="false">
      <c r="A4" s="9" t="s">
        <v>27</v>
      </c>
      <c r="B4" s="9" t="s">
        <v>28</v>
      </c>
      <c r="C4" s="9" t="s">
        <v>26</v>
      </c>
      <c r="D4" s="9" t="s">
        <v>9</v>
      </c>
      <c r="E4" s="9" t="s">
        <v>23</v>
      </c>
    </row>
    <row r="5" customFormat="false" ht="15" hidden="false" customHeight="false" outlineLevel="0" collapsed="false">
      <c r="A5" s="9" t="s">
        <v>29</v>
      </c>
      <c r="B5" s="9" t="s">
        <v>30</v>
      </c>
      <c r="C5" s="9" t="s">
        <v>26</v>
      </c>
      <c r="D5" s="9" t="s">
        <v>9</v>
      </c>
      <c r="E5" s="9" t="s">
        <v>23</v>
      </c>
    </row>
    <row r="6" customFormat="false" ht="15" hidden="false" customHeight="false" outlineLevel="0" collapsed="false">
      <c r="A6" s="9" t="s">
        <v>31</v>
      </c>
      <c r="B6" s="9" t="s">
        <v>32</v>
      </c>
      <c r="C6" s="9" t="s">
        <v>26</v>
      </c>
      <c r="D6" s="9" t="s">
        <v>9</v>
      </c>
      <c r="E6" s="9" t="s">
        <v>23</v>
      </c>
    </row>
    <row r="7" customFormat="false" ht="15" hidden="false" customHeight="false" outlineLevel="0" collapsed="false">
      <c r="A7" s="9" t="s">
        <v>33</v>
      </c>
      <c r="B7" s="9" t="s">
        <v>34</v>
      </c>
      <c r="C7" s="9" t="s">
        <v>26</v>
      </c>
      <c r="D7" s="9" t="s">
        <v>9</v>
      </c>
      <c r="E7" s="9" t="s">
        <v>23</v>
      </c>
    </row>
    <row r="8" customFormat="false" ht="15" hidden="false" customHeight="false" outlineLevel="0" collapsed="false">
      <c r="A8" s="9" t="s">
        <v>35</v>
      </c>
      <c r="B8" s="9" t="s">
        <v>36</v>
      </c>
      <c r="C8" s="9" t="s">
        <v>26</v>
      </c>
      <c r="D8" s="9" t="s">
        <v>9</v>
      </c>
      <c r="E8" s="9" t="s">
        <v>23</v>
      </c>
    </row>
    <row r="9" customFormat="false" ht="15" hidden="false" customHeight="false" outlineLevel="0" collapsed="false">
      <c r="A9" s="9" t="s">
        <v>37</v>
      </c>
      <c r="B9" s="9" t="s">
        <v>38</v>
      </c>
      <c r="C9" s="9" t="s">
        <v>26</v>
      </c>
      <c r="D9" s="9" t="s">
        <v>9</v>
      </c>
      <c r="E9" s="9" t="s">
        <v>23</v>
      </c>
    </row>
    <row r="10" customFormat="false" ht="15" hidden="false" customHeight="false" outlineLevel="0" collapsed="false">
      <c r="A10" s="9" t="s">
        <v>39</v>
      </c>
      <c r="B10" s="9" t="s">
        <v>40</v>
      </c>
      <c r="C10" s="9" t="s">
        <v>26</v>
      </c>
      <c r="D10" s="9" t="s">
        <v>9</v>
      </c>
      <c r="E10" s="9" t="s">
        <v>23</v>
      </c>
    </row>
    <row r="11" customFormat="false" ht="15" hidden="false" customHeight="false" outlineLevel="0" collapsed="false">
      <c r="A11" s="9" t="s">
        <v>41</v>
      </c>
      <c r="B11" s="9" t="s">
        <v>42</v>
      </c>
      <c r="C11" s="9" t="s">
        <v>26</v>
      </c>
      <c r="D11" s="9" t="s">
        <v>9</v>
      </c>
      <c r="E11" s="9" t="s">
        <v>23</v>
      </c>
    </row>
    <row r="12" customFormat="false" ht="15" hidden="false" customHeight="false" outlineLevel="0" collapsed="false">
      <c r="A12" s="9" t="s">
        <v>43</v>
      </c>
      <c r="B12" s="9" t="s">
        <v>44</v>
      </c>
      <c r="C12" s="9" t="s">
        <v>26</v>
      </c>
      <c r="D12" s="9" t="s">
        <v>9</v>
      </c>
      <c r="E12" s="9" t="s">
        <v>23</v>
      </c>
    </row>
    <row r="13" customFormat="false" ht="15" hidden="false" customHeight="false" outlineLevel="0" collapsed="false">
      <c r="A13" s="9" t="s">
        <v>45</v>
      </c>
      <c r="B13" s="9" t="s">
        <v>46</v>
      </c>
      <c r="C13" s="9" t="s">
        <v>26</v>
      </c>
      <c r="D13" s="9" t="s">
        <v>9</v>
      </c>
      <c r="E13" s="9" t="s">
        <v>23</v>
      </c>
    </row>
    <row r="14" customFormat="false" ht="15" hidden="false" customHeight="false" outlineLevel="0" collapsed="false">
      <c r="A14" s="9" t="s">
        <v>47</v>
      </c>
      <c r="B14" s="9" t="s">
        <v>48</v>
      </c>
      <c r="C14" s="9" t="s">
        <v>49</v>
      </c>
      <c r="D14" s="9" t="s">
        <v>9</v>
      </c>
      <c r="E14" s="9" t="s">
        <v>23</v>
      </c>
    </row>
    <row r="15" customFormat="false" ht="15" hidden="false" customHeight="false" outlineLevel="0" collapsed="false">
      <c r="A15" s="9" t="s">
        <v>50</v>
      </c>
      <c r="B15" s="9" t="s">
        <v>51</v>
      </c>
      <c r="C15" s="9" t="s">
        <v>49</v>
      </c>
      <c r="D15" s="9" t="s">
        <v>9</v>
      </c>
      <c r="E15" s="9" t="s">
        <v>23</v>
      </c>
    </row>
    <row r="16" customFormat="false" ht="15" hidden="false" customHeight="false" outlineLevel="0" collapsed="false">
      <c r="A16" s="9" t="s">
        <v>52</v>
      </c>
      <c r="B16" s="9" t="s">
        <v>53</v>
      </c>
      <c r="C16" s="9" t="s">
        <v>49</v>
      </c>
      <c r="D16" s="9" t="s">
        <v>9</v>
      </c>
      <c r="E16" s="9" t="s">
        <v>23</v>
      </c>
    </row>
    <row r="17" customFormat="false" ht="15" hidden="false" customHeight="false" outlineLevel="0" collapsed="false">
      <c r="A17" s="9" t="s">
        <v>54</v>
      </c>
      <c r="B17" s="9" t="s">
        <v>55</v>
      </c>
      <c r="C17" s="9" t="s">
        <v>49</v>
      </c>
      <c r="D17" s="9" t="s">
        <v>9</v>
      </c>
      <c r="E17" s="9" t="s">
        <v>23</v>
      </c>
    </row>
    <row r="18" customFormat="false" ht="15" hidden="false" customHeight="false" outlineLevel="0" collapsed="false">
      <c r="A18" s="9" t="s">
        <v>56</v>
      </c>
      <c r="B18" s="9" t="s">
        <v>57</v>
      </c>
      <c r="C18" s="9" t="s">
        <v>49</v>
      </c>
      <c r="D18" s="9" t="s">
        <v>9</v>
      </c>
      <c r="E18" s="9" t="s">
        <v>23</v>
      </c>
    </row>
    <row r="19" customFormat="false" ht="15" hidden="false" customHeight="false" outlineLevel="0" collapsed="false">
      <c r="A19" s="9" t="s">
        <v>58</v>
      </c>
      <c r="B19" s="9" t="s">
        <v>59</v>
      </c>
      <c r="C19" s="9" t="s">
        <v>49</v>
      </c>
      <c r="D19" s="9" t="s">
        <v>9</v>
      </c>
      <c r="E19" s="9" t="s">
        <v>23</v>
      </c>
    </row>
    <row r="20" customFormat="false" ht="15" hidden="false" customHeight="false" outlineLevel="0" collapsed="false">
      <c r="A20" s="9" t="s">
        <v>60</v>
      </c>
      <c r="B20" s="9" t="s">
        <v>61</v>
      </c>
      <c r="C20" s="9" t="s">
        <v>49</v>
      </c>
      <c r="D20" s="9" t="s">
        <v>9</v>
      </c>
      <c r="E20" s="9" t="s">
        <v>23</v>
      </c>
    </row>
    <row r="21" customFormat="false" ht="15" hidden="false" customHeight="false" outlineLevel="0" collapsed="false">
      <c r="A21" s="9" t="s">
        <v>62</v>
      </c>
      <c r="B21" s="9" t="s">
        <v>63</v>
      </c>
      <c r="C21" s="9" t="s">
        <v>49</v>
      </c>
      <c r="D21" s="9" t="s">
        <v>9</v>
      </c>
      <c r="E21" s="9" t="s">
        <v>23</v>
      </c>
    </row>
    <row r="22" customFormat="false" ht="15" hidden="false" customHeight="false" outlineLevel="0" collapsed="false">
      <c r="A22" s="9" t="s">
        <v>64</v>
      </c>
      <c r="B22" s="9" t="s">
        <v>65</v>
      </c>
      <c r="C22" s="9" t="s">
        <v>49</v>
      </c>
      <c r="D22" s="9" t="s">
        <v>9</v>
      </c>
      <c r="E22" s="9" t="s">
        <v>23</v>
      </c>
    </row>
    <row r="23" customFormat="false" ht="15" hidden="false" customHeight="false" outlineLevel="0" collapsed="false">
      <c r="A23" s="9" t="s">
        <v>66</v>
      </c>
      <c r="B23" s="9" t="s">
        <v>67</v>
      </c>
      <c r="C23" s="9" t="s">
        <v>49</v>
      </c>
      <c r="D23" s="9" t="s">
        <v>9</v>
      </c>
      <c r="E23" s="9" t="s">
        <v>23</v>
      </c>
    </row>
    <row r="24" customFormat="false" ht="15" hidden="false" customHeight="false" outlineLevel="0" collapsed="false">
      <c r="A24" s="9" t="s">
        <v>68</v>
      </c>
      <c r="B24" s="9" t="s">
        <v>69</v>
      </c>
      <c r="C24" s="9" t="s">
        <v>49</v>
      </c>
      <c r="D24" s="9" t="s">
        <v>9</v>
      </c>
      <c r="E24" s="9" t="s">
        <v>23</v>
      </c>
    </row>
    <row r="25" customFormat="false" ht="15" hidden="false" customHeight="false" outlineLevel="0" collapsed="false">
      <c r="A25" s="9" t="s">
        <v>70</v>
      </c>
      <c r="B25" s="9" t="s">
        <v>71</v>
      </c>
      <c r="C25" s="9" t="s">
        <v>49</v>
      </c>
      <c r="D25" s="9" t="s">
        <v>9</v>
      </c>
      <c r="E25" s="9" t="s">
        <v>23</v>
      </c>
    </row>
    <row r="26" customFormat="false" ht="15" hidden="false" customHeight="false" outlineLevel="0" collapsed="false">
      <c r="A26" s="9" t="s">
        <v>72</v>
      </c>
      <c r="B26" s="9" t="s">
        <v>73</v>
      </c>
      <c r="C26" s="9" t="s">
        <v>49</v>
      </c>
      <c r="D26" s="9" t="s">
        <v>9</v>
      </c>
      <c r="E26" s="9" t="s">
        <v>23</v>
      </c>
    </row>
    <row r="27" customFormat="false" ht="15" hidden="false" customHeight="false" outlineLevel="0" collapsed="false">
      <c r="A27" s="9" t="s">
        <v>74</v>
      </c>
      <c r="B27" s="9" t="s">
        <v>75</v>
      </c>
      <c r="C27" s="9" t="s">
        <v>49</v>
      </c>
      <c r="D27" s="9" t="s">
        <v>9</v>
      </c>
      <c r="E27" s="9" t="s">
        <v>23</v>
      </c>
    </row>
    <row r="28" customFormat="false" ht="15" hidden="false" customHeight="false" outlineLevel="0" collapsed="false">
      <c r="A28" s="9" t="s">
        <v>76</v>
      </c>
      <c r="B28" s="9" t="s">
        <v>77</v>
      </c>
      <c r="C28" s="9" t="s">
        <v>78</v>
      </c>
      <c r="D28" s="9" t="s">
        <v>9</v>
      </c>
      <c r="E28" s="9" t="s">
        <v>23</v>
      </c>
    </row>
    <row r="29" customFormat="false" ht="15" hidden="false" customHeight="false" outlineLevel="0" collapsed="false">
      <c r="A29" s="9" t="s">
        <v>79</v>
      </c>
      <c r="B29" s="9" t="s">
        <v>80</v>
      </c>
      <c r="C29" s="9" t="s">
        <v>78</v>
      </c>
      <c r="D29" s="9" t="s">
        <v>9</v>
      </c>
      <c r="E29" s="9" t="s">
        <v>23</v>
      </c>
    </row>
    <row r="30" customFormat="false" ht="15" hidden="false" customHeight="false" outlineLevel="0" collapsed="false">
      <c r="A30" s="9" t="s">
        <v>81</v>
      </c>
      <c r="B30" s="9" t="s">
        <v>82</v>
      </c>
      <c r="C30" s="9" t="s">
        <v>78</v>
      </c>
      <c r="D30" s="9" t="s">
        <v>9</v>
      </c>
      <c r="E30" s="9" t="s">
        <v>23</v>
      </c>
    </row>
    <row r="31" customFormat="false" ht="15" hidden="false" customHeight="false" outlineLevel="0" collapsed="false">
      <c r="A31" s="9" t="s">
        <v>83</v>
      </c>
      <c r="B31" s="9" t="s">
        <v>84</v>
      </c>
      <c r="C31" s="9" t="s">
        <v>78</v>
      </c>
      <c r="D31" s="9" t="s">
        <v>9</v>
      </c>
      <c r="E31" s="9" t="s">
        <v>23</v>
      </c>
    </row>
    <row r="32" customFormat="false" ht="15" hidden="false" customHeight="false" outlineLevel="0" collapsed="false">
      <c r="A32" s="9" t="s">
        <v>85</v>
      </c>
      <c r="B32" s="9" t="s">
        <v>86</v>
      </c>
      <c r="C32" s="9" t="s">
        <v>78</v>
      </c>
      <c r="D32" s="9" t="s">
        <v>9</v>
      </c>
      <c r="E32" s="9" t="s">
        <v>23</v>
      </c>
    </row>
    <row r="33" customFormat="false" ht="15" hidden="false" customHeight="false" outlineLevel="0" collapsed="false">
      <c r="A33" s="9" t="s">
        <v>87</v>
      </c>
      <c r="B33" s="9" t="s">
        <v>88</v>
      </c>
      <c r="C33" s="9" t="s">
        <v>78</v>
      </c>
      <c r="D33" s="9" t="s">
        <v>9</v>
      </c>
      <c r="E33" s="9" t="s">
        <v>23</v>
      </c>
    </row>
    <row r="34" customFormat="false" ht="15" hidden="false" customHeight="false" outlineLevel="0" collapsed="false">
      <c r="A34" s="9" t="s">
        <v>89</v>
      </c>
      <c r="B34" s="9" t="s">
        <v>90</v>
      </c>
      <c r="C34" s="9" t="s">
        <v>78</v>
      </c>
      <c r="D34" s="9" t="s">
        <v>9</v>
      </c>
      <c r="E34" s="9" t="s">
        <v>23</v>
      </c>
    </row>
    <row r="35" customFormat="false" ht="15" hidden="false" customHeight="false" outlineLevel="0" collapsed="false">
      <c r="A35" s="9" t="s">
        <v>91</v>
      </c>
      <c r="B35" s="9" t="s">
        <v>92</v>
      </c>
      <c r="C35" s="9" t="s">
        <v>78</v>
      </c>
      <c r="D35" s="9" t="s">
        <v>9</v>
      </c>
      <c r="E35" s="9" t="s">
        <v>23</v>
      </c>
    </row>
    <row r="36" customFormat="false" ht="15" hidden="false" customHeight="false" outlineLevel="0" collapsed="false">
      <c r="A36" s="9" t="s">
        <v>93</v>
      </c>
      <c r="B36" s="9" t="s">
        <v>94</v>
      </c>
      <c r="C36" s="9" t="s">
        <v>78</v>
      </c>
      <c r="D36" s="9" t="s">
        <v>9</v>
      </c>
      <c r="E36" s="9" t="s">
        <v>23</v>
      </c>
    </row>
    <row r="37" customFormat="false" ht="15" hidden="false" customHeight="false" outlineLevel="0" collapsed="false">
      <c r="A37" s="9" t="s">
        <v>95</v>
      </c>
      <c r="B37" s="9" t="s">
        <v>96</v>
      </c>
      <c r="C37" s="9" t="s">
        <v>78</v>
      </c>
      <c r="D37" s="9" t="s">
        <v>9</v>
      </c>
      <c r="E37" s="9" t="s">
        <v>23</v>
      </c>
    </row>
    <row r="38" customFormat="false" ht="15" hidden="false" customHeight="false" outlineLevel="0" collapsed="false">
      <c r="A38" s="9" t="s">
        <v>97</v>
      </c>
      <c r="B38" s="9" t="s">
        <v>98</v>
      </c>
      <c r="C38" s="9" t="s">
        <v>78</v>
      </c>
      <c r="D38" s="9" t="s">
        <v>9</v>
      </c>
      <c r="E38" s="9" t="s">
        <v>23</v>
      </c>
    </row>
    <row r="39" customFormat="false" ht="15" hidden="false" customHeight="false" outlineLevel="0" collapsed="false">
      <c r="A39" s="9" t="s">
        <v>99</v>
      </c>
      <c r="B39" s="9" t="s">
        <v>100</v>
      </c>
      <c r="C39" s="9" t="s">
        <v>78</v>
      </c>
      <c r="D39" s="9" t="s">
        <v>9</v>
      </c>
      <c r="E39" s="9" t="s">
        <v>23</v>
      </c>
    </row>
    <row r="40" customFormat="false" ht="15" hidden="false" customHeight="false" outlineLevel="0" collapsed="false">
      <c r="A40" s="9" t="s">
        <v>101</v>
      </c>
      <c r="B40" s="9" t="s">
        <v>102</v>
      </c>
      <c r="C40" s="9" t="s">
        <v>78</v>
      </c>
      <c r="D40" s="9" t="s">
        <v>9</v>
      </c>
      <c r="E40" s="9" t="s">
        <v>23</v>
      </c>
    </row>
    <row r="41" customFormat="false" ht="15" hidden="false" customHeight="false" outlineLevel="0" collapsed="false">
      <c r="A41" s="9" t="s">
        <v>103</v>
      </c>
      <c r="B41" s="9" t="s">
        <v>104</v>
      </c>
      <c r="C41" s="9" t="s">
        <v>78</v>
      </c>
      <c r="D41" s="9" t="s">
        <v>9</v>
      </c>
      <c r="E41" s="9" t="s">
        <v>23</v>
      </c>
    </row>
    <row r="42" customFormat="false" ht="15" hidden="false" customHeight="false" outlineLevel="0" collapsed="false">
      <c r="A42" s="9" t="s">
        <v>105</v>
      </c>
      <c r="B42" s="9" t="s">
        <v>106</v>
      </c>
      <c r="C42" s="9" t="s">
        <v>78</v>
      </c>
      <c r="D42" s="9" t="s">
        <v>9</v>
      </c>
      <c r="E42" s="9" t="s">
        <v>23</v>
      </c>
    </row>
    <row r="43" customFormat="false" ht="15" hidden="false" customHeight="false" outlineLevel="0" collapsed="false">
      <c r="A43" s="9" t="s">
        <v>107</v>
      </c>
      <c r="B43" s="9" t="s">
        <v>108</v>
      </c>
      <c r="C43" s="9" t="s">
        <v>109</v>
      </c>
      <c r="D43" s="9" t="s">
        <v>9</v>
      </c>
      <c r="E43" s="9" t="s">
        <v>23</v>
      </c>
    </row>
    <row r="44" customFormat="false" ht="15" hidden="false" customHeight="false" outlineLevel="0" collapsed="false">
      <c r="A44" s="9" t="s">
        <v>110</v>
      </c>
      <c r="B44" s="9" t="s">
        <v>111</v>
      </c>
      <c r="C44" s="9" t="s">
        <v>109</v>
      </c>
      <c r="D44" s="9" t="s">
        <v>9</v>
      </c>
      <c r="E44" s="9" t="s">
        <v>23</v>
      </c>
    </row>
    <row r="45" customFormat="false" ht="15" hidden="false" customHeight="false" outlineLevel="0" collapsed="false">
      <c r="A45" s="9" t="s">
        <v>112</v>
      </c>
      <c r="B45" s="9" t="s">
        <v>113</v>
      </c>
      <c r="C45" s="9" t="s">
        <v>109</v>
      </c>
      <c r="D45" s="9" t="s">
        <v>9</v>
      </c>
      <c r="E45" s="9" t="s">
        <v>23</v>
      </c>
    </row>
    <row r="46" customFormat="false" ht="15" hidden="false" customHeight="false" outlineLevel="0" collapsed="false">
      <c r="A46" s="9" t="s">
        <v>114</v>
      </c>
      <c r="B46" s="9" t="s">
        <v>115</v>
      </c>
      <c r="C46" s="9" t="s">
        <v>109</v>
      </c>
      <c r="D46" s="9" t="s">
        <v>9</v>
      </c>
      <c r="E46" s="9" t="s">
        <v>23</v>
      </c>
    </row>
    <row r="47" customFormat="false" ht="15" hidden="false" customHeight="false" outlineLevel="0" collapsed="false">
      <c r="A47" s="9" t="s">
        <v>116</v>
      </c>
      <c r="B47" s="9" t="s">
        <v>117</v>
      </c>
      <c r="C47" s="9" t="s">
        <v>109</v>
      </c>
      <c r="D47" s="9" t="s">
        <v>9</v>
      </c>
      <c r="E47" s="9" t="s">
        <v>23</v>
      </c>
    </row>
    <row r="48" customFormat="false" ht="15" hidden="false" customHeight="false" outlineLevel="0" collapsed="false">
      <c r="A48" s="9" t="s">
        <v>118</v>
      </c>
      <c r="B48" s="9" t="s">
        <v>119</v>
      </c>
      <c r="C48" s="9" t="s">
        <v>109</v>
      </c>
      <c r="D48" s="9" t="s">
        <v>9</v>
      </c>
      <c r="E48" s="9" t="s">
        <v>23</v>
      </c>
    </row>
    <row r="49" customFormat="false" ht="15" hidden="false" customHeight="false" outlineLevel="0" collapsed="false">
      <c r="A49" s="9" t="s">
        <v>120</v>
      </c>
      <c r="B49" s="9" t="s">
        <v>121</v>
      </c>
      <c r="C49" s="9" t="s">
        <v>109</v>
      </c>
      <c r="D49" s="9" t="s">
        <v>9</v>
      </c>
      <c r="E49" s="9" t="s">
        <v>23</v>
      </c>
    </row>
    <row r="50" customFormat="false" ht="15" hidden="false" customHeight="false" outlineLevel="0" collapsed="false">
      <c r="A50" s="9" t="s">
        <v>122</v>
      </c>
      <c r="B50" s="9" t="s">
        <v>36</v>
      </c>
      <c r="C50" s="9" t="s">
        <v>123</v>
      </c>
      <c r="D50" s="9" t="s">
        <v>9</v>
      </c>
      <c r="E50" s="9" t="s">
        <v>23</v>
      </c>
    </row>
    <row r="51" customFormat="false" ht="15" hidden="false" customHeight="false" outlineLevel="0" collapsed="false">
      <c r="A51" s="9" t="s">
        <v>124</v>
      </c>
      <c r="B51" s="9" t="s">
        <v>125</v>
      </c>
      <c r="C51" s="9" t="s">
        <v>123</v>
      </c>
      <c r="D51" s="9" t="s">
        <v>9</v>
      </c>
      <c r="E51" s="9" t="s">
        <v>23</v>
      </c>
    </row>
    <row r="52" customFormat="false" ht="15" hidden="false" customHeight="false" outlineLevel="0" collapsed="false">
      <c r="A52" s="9" t="s">
        <v>126</v>
      </c>
      <c r="B52" s="9" t="s">
        <v>127</v>
      </c>
      <c r="C52" s="9" t="s">
        <v>123</v>
      </c>
      <c r="D52" s="9" t="s">
        <v>9</v>
      </c>
      <c r="E52" s="9" t="s">
        <v>23</v>
      </c>
    </row>
    <row r="53" customFormat="false" ht="15" hidden="false" customHeight="false" outlineLevel="0" collapsed="false">
      <c r="A53" s="9" t="s">
        <v>128</v>
      </c>
      <c r="B53" s="9" t="s">
        <v>129</v>
      </c>
      <c r="C53" s="9" t="s">
        <v>123</v>
      </c>
      <c r="D53" s="9" t="s">
        <v>9</v>
      </c>
      <c r="E53" s="9" t="s">
        <v>23</v>
      </c>
    </row>
    <row r="54" customFormat="false" ht="15" hidden="false" customHeight="false" outlineLevel="0" collapsed="false">
      <c r="A54" s="9" t="s">
        <v>130</v>
      </c>
      <c r="B54" s="9" t="s">
        <v>131</v>
      </c>
      <c r="C54" s="9" t="s">
        <v>123</v>
      </c>
      <c r="D54" s="9" t="s">
        <v>9</v>
      </c>
      <c r="E54" s="9" t="s">
        <v>23</v>
      </c>
    </row>
    <row r="55" customFormat="false" ht="15" hidden="false" customHeight="false" outlineLevel="0" collapsed="false">
      <c r="A55" s="9" t="s">
        <v>132</v>
      </c>
      <c r="B55" s="9" t="s">
        <v>133</v>
      </c>
      <c r="C55" s="9" t="s">
        <v>123</v>
      </c>
      <c r="D55" s="9" t="s">
        <v>9</v>
      </c>
      <c r="E55" s="9" t="s">
        <v>23</v>
      </c>
    </row>
    <row r="56" customFormat="false" ht="15" hidden="false" customHeight="false" outlineLevel="0" collapsed="false">
      <c r="A56" s="9" t="s">
        <v>134</v>
      </c>
      <c r="B56" s="9" t="s">
        <v>135</v>
      </c>
      <c r="C56" s="9" t="s">
        <v>123</v>
      </c>
      <c r="D56" s="9" t="s">
        <v>9</v>
      </c>
      <c r="E56" s="9" t="s">
        <v>23</v>
      </c>
    </row>
    <row r="57" customFormat="false" ht="15" hidden="false" customHeight="false" outlineLevel="0" collapsed="false">
      <c r="A57" s="9" t="s">
        <v>136</v>
      </c>
      <c r="B57" s="9" t="s">
        <v>137</v>
      </c>
      <c r="C57" s="9" t="s">
        <v>123</v>
      </c>
      <c r="D57" s="9" t="s">
        <v>9</v>
      </c>
      <c r="E57" s="9" t="s">
        <v>23</v>
      </c>
    </row>
    <row r="58" customFormat="false" ht="15" hidden="false" customHeight="false" outlineLevel="0" collapsed="false">
      <c r="A58" s="9" t="s">
        <v>138</v>
      </c>
      <c r="B58" s="9" t="s">
        <v>139</v>
      </c>
      <c r="C58" s="9" t="s">
        <v>123</v>
      </c>
      <c r="D58" s="9" t="s">
        <v>9</v>
      </c>
      <c r="E58" s="9" t="s">
        <v>23</v>
      </c>
    </row>
    <row r="59" customFormat="false" ht="15" hidden="false" customHeight="false" outlineLevel="0" collapsed="false">
      <c r="A59" s="9" t="s">
        <v>140</v>
      </c>
      <c r="B59" s="9" t="s">
        <v>141</v>
      </c>
      <c r="C59" s="9" t="s">
        <v>142</v>
      </c>
      <c r="D59" s="9" t="s">
        <v>9</v>
      </c>
      <c r="E59" s="9" t="s">
        <v>23</v>
      </c>
    </row>
    <row r="60" customFormat="false" ht="15" hidden="false" customHeight="false" outlineLevel="0" collapsed="false">
      <c r="A60" s="9" t="s">
        <v>143</v>
      </c>
      <c r="B60" s="9" t="s">
        <v>144</v>
      </c>
      <c r="C60" s="9" t="s">
        <v>142</v>
      </c>
      <c r="D60" s="9" t="s">
        <v>9</v>
      </c>
      <c r="E60" s="9" t="s">
        <v>23</v>
      </c>
    </row>
    <row r="61" customFormat="false" ht="15" hidden="false" customHeight="false" outlineLevel="0" collapsed="false">
      <c r="A61" s="9" t="s">
        <v>145</v>
      </c>
      <c r="B61" s="9" t="s">
        <v>146</v>
      </c>
      <c r="C61" s="9" t="s">
        <v>142</v>
      </c>
      <c r="D61" s="9" t="s">
        <v>9</v>
      </c>
      <c r="E61" s="9" t="s">
        <v>23</v>
      </c>
    </row>
    <row r="62" customFormat="false" ht="15" hidden="false" customHeight="false" outlineLevel="0" collapsed="false">
      <c r="A62" s="9" t="s">
        <v>147</v>
      </c>
      <c r="B62" s="9" t="s">
        <v>148</v>
      </c>
      <c r="C62" s="9" t="s">
        <v>142</v>
      </c>
      <c r="D62" s="9" t="s">
        <v>9</v>
      </c>
      <c r="E62" s="9" t="s">
        <v>23</v>
      </c>
    </row>
    <row r="63" customFormat="false" ht="15" hidden="false" customHeight="false" outlineLevel="0" collapsed="false">
      <c r="A63" s="9" t="s">
        <v>149</v>
      </c>
      <c r="B63" s="9" t="s">
        <v>150</v>
      </c>
      <c r="C63" s="9" t="s">
        <v>142</v>
      </c>
      <c r="D63" s="9" t="s">
        <v>9</v>
      </c>
      <c r="E63" s="9" t="s">
        <v>23</v>
      </c>
    </row>
    <row r="64" customFormat="false" ht="15" hidden="false" customHeight="false" outlineLevel="0" collapsed="false">
      <c r="A64" s="9" t="s">
        <v>151</v>
      </c>
      <c r="B64" s="9" t="s">
        <v>152</v>
      </c>
      <c r="C64" s="9" t="s">
        <v>142</v>
      </c>
      <c r="D64" s="9" t="s">
        <v>9</v>
      </c>
      <c r="E64" s="9" t="s">
        <v>23</v>
      </c>
    </row>
    <row r="65" customFormat="false" ht="15" hidden="false" customHeight="false" outlineLevel="0" collapsed="false">
      <c r="A65" s="9" t="s">
        <v>153</v>
      </c>
      <c r="B65" s="9" t="s">
        <v>154</v>
      </c>
      <c r="C65" s="9" t="s">
        <v>142</v>
      </c>
      <c r="D65" s="9" t="s">
        <v>9</v>
      </c>
      <c r="E65" s="9" t="s">
        <v>23</v>
      </c>
    </row>
    <row r="66" customFormat="false" ht="15" hidden="false" customHeight="false" outlineLevel="0" collapsed="false">
      <c r="A66" s="9" t="s">
        <v>155</v>
      </c>
      <c r="B66" s="9" t="s">
        <v>156</v>
      </c>
      <c r="C66" s="9" t="s">
        <v>142</v>
      </c>
      <c r="D66" s="9" t="s">
        <v>9</v>
      </c>
      <c r="E66" s="9" t="s">
        <v>23</v>
      </c>
    </row>
    <row r="67" customFormat="false" ht="15" hidden="false" customHeight="false" outlineLevel="0" collapsed="false">
      <c r="A67" s="9" t="s">
        <v>157</v>
      </c>
      <c r="B67" s="9" t="s">
        <v>158</v>
      </c>
      <c r="C67" s="9" t="s">
        <v>142</v>
      </c>
      <c r="D67" s="9" t="s">
        <v>9</v>
      </c>
      <c r="E67" s="9" t="s">
        <v>23</v>
      </c>
    </row>
    <row r="68" customFormat="false" ht="15" hidden="false" customHeight="false" outlineLevel="0" collapsed="false">
      <c r="A68" s="9" t="s">
        <v>159</v>
      </c>
      <c r="B68" s="9" t="s">
        <v>160</v>
      </c>
      <c r="C68" s="9" t="s">
        <v>161</v>
      </c>
      <c r="D68" s="9" t="s">
        <v>9</v>
      </c>
      <c r="E68" s="9" t="s">
        <v>23</v>
      </c>
    </row>
    <row r="69" customFormat="false" ht="15" hidden="false" customHeight="false" outlineLevel="0" collapsed="false">
      <c r="A69" s="9" t="s">
        <v>162</v>
      </c>
      <c r="B69" s="9" t="s">
        <v>163</v>
      </c>
      <c r="C69" s="9" t="s">
        <v>161</v>
      </c>
      <c r="D69" s="9" t="s">
        <v>9</v>
      </c>
      <c r="E69" s="9" t="s">
        <v>23</v>
      </c>
    </row>
    <row r="70" customFormat="false" ht="15" hidden="false" customHeight="false" outlineLevel="0" collapsed="false">
      <c r="A70" s="9" t="s">
        <v>164</v>
      </c>
      <c r="B70" s="9" t="s">
        <v>165</v>
      </c>
      <c r="C70" s="9" t="s">
        <v>161</v>
      </c>
      <c r="D70" s="9" t="s">
        <v>9</v>
      </c>
      <c r="E70" s="9" t="s">
        <v>23</v>
      </c>
    </row>
    <row r="71" customFormat="false" ht="15" hidden="false" customHeight="false" outlineLevel="0" collapsed="false">
      <c r="A71" s="9" t="s">
        <v>166</v>
      </c>
      <c r="B71" s="9" t="s">
        <v>167</v>
      </c>
      <c r="C71" s="9" t="s">
        <v>161</v>
      </c>
      <c r="D71" s="9" t="s">
        <v>9</v>
      </c>
      <c r="E71" s="9" t="s">
        <v>23</v>
      </c>
    </row>
    <row r="72" customFormat="false" ht="15" hidden="false" customHeight="false" outlineLevel="0" collapsed="false">
      <c r="A72" s="9" t="s">
        <v>168</v>
      </c>
      <c r="B72" s="9" t="s">
        <v>169</v>
      </c>
      <c r="C72" s="9" t="s">
        <v>161</v>
      </c>
      <c r="D72" s="9" t="s">
        <v>9</v>
      </c>
      <c r="E72" s="9" t="s">
        <v>23</v>
      </c>
    </row>
    <row r="73" customFormat="false" ht="15" hidden="false" customHeight="false" outlineLevel="0" collapsed="false">
      <c r="A73" s="9" t="s">
        <v>170</v>
      </c>
      <c r="B73" s="9" t="s">
        <v>171</v>
      </c>
      <c r="C73" s="9" t="s">
        <v>161</v>
      </c>
      <c r="D73" s="9" t="s">
        <v>9</v>
      </c>
      <c r="E73" s="9" t="s">
        <v>23</v>
      </c>
    </row>
    <row r="74" customFormat="false" ht="15" hidden="false" customHeight="false" outlineLevel="0" collapsed="false">
      <c r="A74" s="9" t="s">
        <v>172</v>
      </c>
      <c r="B74" s="9" t="s">
        <v>173</v>
      </c>
      <c r="C74" s="9" t="s">
        <v>161</v>
      </c>
      <c r="D74" s="9" t="s">
        <v>9</v>
      </c>
      <c r="E74" s="9" t="s">
        <v>23</v>
      </c>
    </row>
    <row r="75" customFormat="false" ht="15" hidden="false" customHeight="false" outlineLevel="0" collapsed="false">
      <c r="A75" s="9" t="s">
        <v>174</v>
      </c>
      <c r="B75" s="9" t="s">
        <v>175</v>
      </c>
      <c r="C75" s="9" t="s">
        <v>161</v>
      </c>
      <c r="D75" s="9" t="s">
        <v>9</v>
      </c>
      <c r="E75" s="9" t="s">
        <v>23</v>
      </c>
    </row>
    <row r="76" customFormat="false" ht="15" hidden="false" customHeight="false" outlineLevel="0" collapsed="false">
      <c r="A76" s="9" t="s">
        <v>176</v>
      </c>
      <c r="B76" s="9" t="s">
        <v>177</v>
      </c>
      <c r="C76" s="9" t="s">
        <v>161</v>
      </c>
      <c r="D76" s="9" t="s">
        <v>9</v>
      </c>
      <c r="E76" s="9" t="s">
        <v>23</v>
      </c>
    </row>
    <row r="77" customFormat="false" ht="15" hidden="false" customHeight="false" outlineLevel="0" collapsed="false">
      <c r="A77" s="9" t="s">
        <v>178</v>
      </c>
      <c r="B77" s="9" t="s">
        <v>179</v>
      </c>
      <c r="C77" s="9" t="s">
        <v>161</v>
      </c>
      <c r="D77" s="9" t="s">
        <v>9</v>
      </c>
      <c r="E77" s="9" t="s">
        <v>23</v>
      </c>
    </row>
    <row r="78" customFormat="false" ht="15" hidden="false" customHeight="false" outlineLevel="0" collapsed="false">
      <c r="A78" s="9" t="s">
        <v>180</v>
      </c>
      <c r="B78" s="9" t="s">
        <v>181</v>
      </c>
      <c r="C78" s="9" t="s">
        <v>161</v>
      </c>
      <c r="D78" s="9" t="s">
        <v>9</v>
      </c>
      <c r="E78" s="9" t="s">
        <v>23</v>
      </c>
    </row>
    <row r="79" customFormat="false" ht="15" hidden="false" customHeight="false" outlineLevel="0" collapsed="false">
      <c r="A79" s="9" t="s">
        <v>182</v>
      </c>
      <c r="B79" s="9" t="s">
        <v>183</v>
      </c>
      <c r="C79" s="9" t="s">
        <v>161</v>
      </c>
      <c r="D79" s="9" t="s">
        <v>9</v>
      </c>
      <c r="E79" s="9" t="s">
        <v>23</v>
      </c>
    </row>
    <row r="80" customFormat="false" ht="15" hidden="false" customHeight="false" outlineLevel="0" collapsed="false">
      <c r="A80" s="9" t="s">
        <v>184</v>
      </c>
      <c r="B80" s="9" t="s">
        <v>185</v>
      </c>
      <c r="C80" s="9" t="s">
        <v>161</v>
      </c>
      <c r="D80" s="9" t="s">
        <v>9</v>
      </c>
      <c r="E80" s="9" t="s">
        <v>23</v>
      </c>
    </row>
    <row r="81" customFormat="false" ht="15" hidden="false" customHeight="false" outlineLevel="0" collapsed="false">
      <c r="A81" s="9" t="s">
        <v>186</v>
      </c>
      <c r="B81" s="9" t="s">
        <v>187</v>
      </c>
      <c r="C81" s="9" t="s">
        <v>161</v>
      </c>
      <c r="D81" s="9" t="s">
        <v>9</v>
      </c>
      <c r="E81" s="9" t="s">
        <v>23</v>
      </c>
    </row>
    <row r="82" customFormat="false" ht="15" hidden="false" customHeight="false" outlineLevel="0" collapsed="false">
      <c r="A82" s="9" t="s">
        <v>188</v>
      </c>
      <c r="B82" s="9" t="s">
        <v>189</v>
      </c>
      <c r="C82" s="9" t="s">
        <v>161</v>
      </c>
      <c r="D82" s="9" t="s">
        <v>9</v>
      </c>
      <c r="E82" s="9" t="s">
        <v>23</v>
      </c>
    </row>
    <row r="83" customFormat="false" ht="15" hidden="false" customHeight="false" outlineLevel="0" collapsed="false">
      <c r="A83" s="9" t="s">
        <v>190</v>
      </c>
      <c r="B83" s="9" t="s">
        <v>191</v>
      </c>
      <c r="C83" s="9" t="s">
        <v>161</v>
      </c>
      <c r="D83" s="9" t="s">
        <v>9</v>
      </c>
      <c r="E83" s="9" t="s">
        <v>23</v>
      </c>
    </row>
    <row r="84" customFormat="false" ht="15" hidden="false" customHeight="false" outlineLevel="0" collapsed="false">
      <c r="A84" s="9" t="s">
        <v>192</v>
      </c>
      <c r="B84" s="9" t="s">
        <v>193</v>
      </c>
      <c r="C84" s="9" t="s">
        <v>161</v>
      </c>
      <c r="D84" s="9" t="s">
        <v>9</v>
      </c>
      <c r="E84" s="9" t="s">
        <v>23</v>
      </c>
    </row>
    <row r="85" customFormat="false" ht="15" hidden="false" customHeight="false" outlineLevel="0" collapsed="false">
      <c r="A85" s="9" t="s">
        <v>194</v>
      </c>
      <c r="B85" s="9" t="s">
        <v>195</v>
      </c>
      <c r="C85" s="9" t="s">
        <v>161</v>
      </c>
      <c r="D85" s="9" t="s">
        <v>9</v>
      </c>
      <c r="E85" s="9" t="s">
        <v>23</v>
      </c>
    </row>
    <row r="86" customFormat="false" ht="15" hidden="false" customHeight="false" outlineLevel="0" collapsed="false">
      <c r="A86" s="9" t="s">
        <v>196</v>
      </c>
      <c r="B86" s="9" t="s">
        <v>197</v>
      </c>
      <c r="C86" s="9" t="s">
        <v>198</v>
      </c>
      <c r="D86" s="9" t="s">
        <v>9</v>
      </c>
      <c r="E86" s="9" t="s">
        <v>23</v>
      </c>
    </row>
    <row r="87" customFormat="false" ht="15" hidden="false" customHeight="false" outlineLevel="0" collapsed="false">
      <c r="A87" s="9" t="s">
        <v>199</v>
      </c>
      <c r="B87" s="9" t="s">
        <v>200</v>
      </c>
      <c r="C87" s="9" t="s">
        <v>198</v>
      </c>
      <c r="D87" s="9" t="s">
        <v>9</v>
      </c>
      <c r="E87" s="9" t="s">
        <v>23</v>
      </c>
    </row>
    <row r="88" customFormat="false" ht="15" hidden="false" customHeight="false" outlineLevel="0" collapsed="false">
      <c r="A88" s="9" t="s">
        <v>201</v>
      </c>
      <c r="B88" s="9" t="s">
        <v>202</v>
      </c>
      <c r="C88" s="9" t="s">
        <v>198</v>
      </c>
      <c r="D88" s="9" t="s">
        <v>9</v>
      </c>
      <c r="E88" s="9" t="s">
        <v>23</v>
      </c>
    </row>
    <row r="89" customFormat="false" ht="15" hidden="false" customHeight="false" outlineLevel="0" collapsed="false">
      <c r="A89" s="9" t="s">
        <v>203</v>
      </c>
      <c r="B89" s="9" t="s">
        <v>204</v>
      </c>
      <c r="C89" s="9" t="s">
        <v>198</v>
      </c>
      <c r="D89" s="9" t="s">
        <v>9</v>
      </c>
      <c r="E89" s="9" t="s">
        <v>23</v>
      </c>
    </row>
    <row r="90" customFormat="false" ht="15" hidden="false" customHeight="false" outlineLevel="0" collapsed="false">
      <c r="A90" s="9" t="s">
        <v>205</v>
      </c>
      <c r="B90" s="9" t="s">
        <v>206</v>
      </c>
      <c r="C90" s="9" t="s">
        <v>198</v>
      </c>
      <c r="D90" s="9" t="s">
        <v>9</v>
      </c>
      <c r="E90" s="9" t="s">
        <v>23</v>
      </c>
    </row>
    <row r="91" customFormat="false" ht="15" hidden="false" customHeight="false" outlineLevel="0" collapsed="false">
      <c r="A91" s="9" t="s">
        <v>207</v>
      </c>
      <c r="B91" s="9" t="s">
        <v>208</v>
      </c>
      <c r="C91" s="9" t="s">
        <v>198</v>
      </c>
      <c r="D91" s="9" t="s">
        <v>9</v>
      </c>
      <c r="E91" s="9" t="s">
        <v>23</v>
      </c>
    </row>
    <row r="92" customFormat="false" ht="15" hidden="false" customHeight="false" outlineLevel="0" collapsed="false">
      <c r="A92" s="9" t="s">
        <v>209</v>
      </c>
      <c r="B92" s="9" t="s">
        <v>210</v>
      </c>
      <c r="C92" s="9" t="s">
        <v>198</v>
      </c>
      <c r="D92" s="9" t="s">
        <v>9</v>
      </c>
      <c r="E92" s="9" t="s">
        <v>23</v>
      </c>
    </row>
    <row r="93" customFormat="false" ht="15" hidden="false" customHeight="false" outlineLevel="0" collapsed="false">
      <c r="A93" s="9" t="s">
        <v>211</v>
      </c>
      <c r="B93" s="9" t="s">
        <v>212</v>
      </c>
      <c r="C93" s="9" t="s">
        <v>198</v>
      </c>
      <c r="D93" s="9" t="s">
        <v>9</v>
      </c>
      <c r="E93" s="9" t="s">
        <v>23</v>
      </c>
    </row>
    <row r="94" customFormat="false" ht="15" hidden="false" customHeight="false" outlineLevel="0" collapsed="false">
      <c r="A94" s="9" t="s">
        <v>213</v>
      </c>
      <c r="B94" s="9" t="s">
        <v>214</v>
      </c>
      <c r="C94" s="9" t="s">
        <v>198</v>
      </c>
      <c r="D94" s="9" t="s">
        <v>9</v>
      </c>
      <c r="E94" s="9" t="s">
        <v>23</v>
      </c>
    </row>
    <row r="95" customFormat="false" ht="15" hidden="false" customHeight="false" outlineLevel="0" collapsed="false">
      <c r="A95" s="9" t="s">
        <v>215</v>
      </c>
      <c r="B95" s="9" t="s">
        <v>216</v>
      </c>
      <c r="C95" s="9" t="s">
        <v>198</v>
      </c>
      <c r="D95" s="9" t="s">
        <v>9</v>
      </c>
      <c r="E95" s="9" t="s">
        <v>23</v>
      </c>
    </row>
    <row r="96" customFormat="false" ht="15" hidden="false" customHeight="false" outlineLevel="0" collapsed="false">
      <c r="A96" s="9" t="s">
        <v>217</v>
      </c>
      <c r="B96" s="9" t="s">
        <v>218</v>
      </c>
      <c r="C96" s="9" t="s">
        <v>219</v>
      </c>
      <c r="D96" s="9" t="s">
        <v>9</v>
      </c>
      <c r="E96" s="9" t="s">
        <v>23</v>
      </c>
    </row>
    <row r="97" customFormat="false" ht="15" hidden="false" customHeight="false" outlineLevel="0" collapsed="false">
      <c r="A97" s="9" t="s">
        <v>220</v>
      </c>
      <c r="B97" s="9" t="s">
        <v>221</v>
      </c>
      <c r="C97" s="9" t="s">
        <v>219</v>
      </c>
      <c r="D97" s="9" t="s">
        <v>9</v>
      </c>
      <c r="E97" s="9" t="s">
        <v>23</v>
      </c>
    </row>
    <row r="98" customFormat="false" ht="15" hidden="false" customHeight="false" outlineLevel="0" collapsed="false">
      <c r="A98" s="9" t="s">
        <v>222</v>
      </c>
      <c r="B98" s="9" t="s">
        <v>223</v>
      </c>
      <c r="C98" s="9" t="s">
        <v>219</v>
      </c>
      <c r="D98" s="9" t="s">
        <v>9</v>
      </c>
      <c r="E98" s="9" t="s">
        <v>23</v>
      </c>
    </row>
    <row r="99" customFormat="false" ht="15" hidden="false" customHeight="false" outlineLevel="0" collapsed="false">
      <c r="A99" s="9" t="s">
        <v>224</v>
      </c>
      <c r="B99" s="9" t="s">
        <v>225</v>
      </c>
      <c r="C99" s="9" t="s">
        <v>219</v>
      </c>
      <c r="D99" s="9" t="s">
        <v>9</v>
      </c>
      <c r="E99" s="9" t="s">
        <v>23</v>
      </c>
    </row>
    <row r="100" customFormat="false" ht="15" hidden="false" customHeight="false" outlineLevel="0" collapsed="false">
      <c r="A100" s="9" t="s">
        <v>226</v>
      </c>
      <c r="B100" s="9" t="s">
        <v>227</v>
      </c>
      <c r="C100" s="9" t="s">
        <v>219</v>
      </c>
      <c r="D100" s="9" t="s">
        <v>9</v>
      </c>
      <c r="E100" s="9" t="s">
        <v>23</v>
      </c>
    </row>
    <row r="101" customFormat="false" ht="15" hidden="false" customHeight="false" outlineLevel="0" collapsed="false">
      <c r="A101" s="9" t="s">
        <v>228</v>
      </c>
      <c r="B101" s="9" t="s">
        <v>229</v>
      </c>
      <c r="C101" s="9" t="s">
        <v>219</v>
      </c>
      <c r="D101" s="9" t="s">
        <v>9</v>
      </c>
      <c r="E101" s="9" t="s">
        <v>23</v>
      </c>
    </row>
    <row r="102" customFormat="false" ht="15" hidden="false" customHeight="false" outlineLevel="0" collapsed="false">
      <c r="A102" s="9" t="s">
        <v>230</v>
      </c>
      <c r="B102" s="9" t="s">
        <v>231</v>
      </c>
      <c r="C102" s="9" t="s">
        <v>219</v>
      </c>
      <c r="D102" s="9" t="s">
        <v>9</v>
      </c>
      <c r="E102" s="9" t="s">
        <v>23</v>
      </c>
    </row>
    <row r="103" customFormat="false" ht="15" hidden="false" customHeight="false" outlineLevel="0" collapsed="false">
      <c r="A103" s="9" t="s">
        <v>232</v>
      </c>
      <c r="B103" s="9" t="s">
        <v>233</v>
      </c>
      <c r="C103" s="9" t="s">
        <v>219</v>
      </c>
      <c r="D103" s="9" t="s">
        <v>9</v>
      </c>
      <c r="E103" s="9" t="s">
        <v>23</v>
      </c>
    </row>
    <row r="104" customFormat="false" ht="15" hidden="false" customHeight="false" outlineLevel="0" collapsed="false">
      <c r="A104" s="9" t="s">
        <v>234</v>
      </c>
      <c r="B104" s="9" t="s">
        <v>235</v>
      </c>
      <c r="C104" s="9" t="s">
        <v>219</v>
      </c>
      <c r="D104" s="9" t="s">
        <v>9</v>
      </c>
      <c r="E104" s="9" t="s">
        <v>23</v>
      </c>
    </row>
    <row r="105" customFormat="false" ht="15" hidden="false" customHeight="false" outlineLevel="0" collapsed="false">
      <c r="A105" s="9" t="s">
        <v>236</v>
      </c>
      <c r="B105" s="9" t="s">
        <v>237</v>
      </c>
      <c r="C105" s="9" t="s">
        <v>219</v>
      </c>
      <c r="D105" s="9" t="s">
        <v>9</v>
      </c>
      <c r="E105" s="9" t="s">
        <v>23</v>
      </c>
    </row>
    <row r="106" customFormat="false" ht="15" hidden="false" customHeight="false" outlineLevel="0" collapsed="false">
      <c r="A106" s="9" t="s">
        <v>238</v>
      </c>
      <c r="B106" s="9" t="s">
        <v>239</v>
      </c>
      <c r="C106" s="9" t="s">
        <v>219</v>
      </c>
      <c r="D106" s="9" t="s">
        <v>9</v>
      </c>
      <c r="E106" s="9" t="s">
        <v>23</v>
      </c>
    </row>
    <row r="107" customFormat="false" ht="15" hidden="false" customHeight="false" outlineLevel="0" collapsed="false">
      <c r="A107" s="9" t="s">
        <v>240</v>
      </c>
      <c r="B107" s="9" t="s">
        <v>241</v>
      </c>
      <c r="C107" s="9" t="s">
        <v>219</v>
      </c>
      <c r="D107" s="9" t="s">
        <v>9</v>
      </c>
      <c r="E107" s="9" t="s">
        <v>23</v>
      </c>
    </row>
    <row r="108" customFormat="false" ht="15" hidden="false" customHeight="false" outlineLevel="0" collapsed="false">
      <c r="A108" s="9" t="s">
        <v>242</v>
      </c>
      <c r="B108" s="9" t="s">
        <v>243</v>
      </c>
      <c r="C108" s="9" t="s">
        <v>219</v>
      </c>
      <c r="D108" s="9" t="s">
        <v>9</v>
      </c>
      <c r="E108" s="9" t="s">
        <v>23</v>
      </c>
    </row>
    <row r="109" customFormat="false" ht="15" hidden="false" customHeight="false" outlineLevel="0" collapsed="false">
      <c r="A109" s="9" t="s">
        <v>244</v>
      </c>
      <c r="B109" s="9" t="s">
        <v>245</v>
      </c>
      <c r="C109" s="9" t="s">
        <v>219</v>
      </c>
      <c r="D109" s="9" t="s">
        <v>9</v>
      </c>
      <c r="E109" s="9" t="s">
        <v>23</v>
      </c>
    </row>
    <row r="110" customFormat="false" ht="15" hidden="false" customHeight="false" outlineLevel="0" collapsed="false">
      <c r="A110" s="9" t="s">
        <v>246</v>
      </c>
      <c r="B110" s="9" t="s">
        <v>247</v>
      </c>
      <c r="C110" s="9" t="s">
        <v>219</v>
      </c>
      <c r="D110" s="9" t="s">
        <v>9</v>
      </c>
      <c r="E110" s="9" t="s">
        <v>23</v>
      </c>
    </row>
    <row r="111" customFormat="false" ht="15" hidden="false" customHeight="false" outlineLevel="0" collapsed="false">
      <c r="A111" s="9" t="s">
        <v>248</v>
      </c>
      <c r="B111" s="9" t="s">
        <v>249</v>
      </c>
      <c r="C111" s="9" t="s">
        <v>219</v>
      </c>
      <c r="D111" s="9" t="s">
        <v>9</v>
      </c>
      <c r="E111" s="9" t="s">
        <v>23</v>
      </c>
    </row>
    <row r="112" customFormat="false" ht="15" hidden="false" customHeight="false" outlineLevel="0" collapsed="false">
      <c r="A112" s="9" t="s">
        <v>250</v>
      </c>
      <c r="B112" s="9" t="s">
        <v>251</v>
      </c>
      <c r="C112" s="9" t="s">
        <v>219</v>
      </c>
      <c r="D112" s="9" t="s">
        <v>9</v>
      </c>
      <c r="E112" s="9" t="s">
        <v>23</v>
      </c>
    </row>
    <row r="113" customFormat="false" ht="15" hidden="false" customHeight="false" outlineLevel="0" collapsed="false">
      <c r="A113" s="9" t="s">
        <v>252</v>
      </c>
      <c r="B113" s="9" t="s">
        <v>253</v>
      </c>
      <c r="C113" s="9" t="s">
        <v>219</v>
      </c>
      <c r="D113" s="9" t="s">
        <v>9</v>
      </c>
      <c r="E113" s="9" t="s">
        <v>23</v>
      </c>
    </row>
    <row r="114" customFormat="false" ht="15" hidden="false" customHeight="false" outlineLevel="0" collapsed="false">
      <c r="A114" s="9" t="s">
        <v>254</v>
      </c>
      <c r="B114" s="9" t="s">
        <v>255</v>
      </c>
      <c r="C114" s="9" t="s">
        <v>219</v>
      </c>
      <c r="D114" s="9" t="s">
        <v>9</v>
      </c>
      <c r="E114" s="9" t="s">
        <v>23</v>
      </c>
    </row>
    <row r="115" customFormat="false" ht="15" hidden="false" customHeight="false" outlineLevel="0" collapsed="false">
      <c r="A115" s="9" t="s">
        <v>256</v>
      </c>
      <c r="B115" s="9" t="s">
        <v>257</v>
      </c>
      <c r="C115" s="9" t="s">
        <v>219</v>
      </c>
      <c r="D115" s="9" t="s">
        <v>9</v>
      </c>
      <c r="E115" s="9" t="s">
        <v>23</v>
      </c>
    </row>
    <row r="116" customFormat="false" ht="15" hidden="false" customHeight="false" outlineLevel="0" collapsed="false">
      <c r="A116" s="9" t="s">
        <v>258</v>
      </c>
      <c r="B116" s="9" t="s">
        <v>259</v>
      </c>
      <c r="C116" s="9" t="s">
        <v>219</v>
      </c>
      <c r="D116" s="9" t="s">
        <v>9</v>
      </c>
      <c r="E116" s="9" t="s">
        <v>23</v>
      </c>
    </row>
    <row r="117" customFormat="false" ht="15" hidden="false" customHeight="false" outlineLevel="0" collapsed="false">
      <c r="A117" s="9" t="s">
        <v>260</v>
      </c>
      <c r="B117" s="9" t="s">
        <v>261</v>
      </c>
      <c r="C117" s="9" t="s">
        <v>22</v>
      </c>
      <c r="D117" s="9" t="s">
        <v>9</v>
      </c>
      <c r="E117" s="9" t="s">
        <v>23</v>
      </c>
    </row>
    <row r="118" customFormat="false" ht="15" hidden="false" customHeight="false" outlineLevel="0" collapsed="false">
      <c r="A118" s="9" t="s">
        <v>262</v>
      </c>
      <c r="B118" s="9" t="s">
        <v>263</v>
      </c>
      <c r="C118" s="9" t="s">
        <v>22</v>
      </c>
      <c r="D118" s="9" t="s">
        <v>9</v>
      </c>
      <c r="E118" s="9" t="s">
        <v>23</v>
      </c>
    </row>
    <row r="119" customFormat="false" ht="15" hidden="false" customHeight="false" outlineLevel="0" collapsed="false">
      <c r="A119" s="9" t="s">
        <v>264</v>
      </c>
      <c r="B119" s="9" t="s">
        <v>265</v>
      </c>
      <c r="C119" s="9" t="s">
        <v>22</v>
      </c>
      <c r="D119" s="9" t="s">
        <v>9</v>
      </c>
      <c r="E119" s="9" t="s">
        <v>23</v>
      </c>
    </row>
    <row r="120" customFormat="false" ht="15" hidden="false" customHeight="false" outlineLevel="0" collapsed="false">
      <c r="A120" s="9" t="s">
        <v>266</v>
      </c>
      <c r="B120" s="9" t="s">
        <v>267</v>
      </c>
      <c r="C120" s="9" t="s">
        <v>22</v>
      </c>
      <c r="D120" s="9" t="s">
        <v>9</v>
      </c>
      <c r="E120" s="9" t="s">
        <v>23</v>
      </c>
    </row>
    <row r="121" customFormat="false" ht="15" hidden="false" customHeight="false" outlineLevel="0" collapsed="false">
      <c r="A121" s="9" t="s">
        <v>268</v>
      </c>
      <c r="B121" s="9" t="s">
        <v>269</v>
      </c>
      <c r="C121" s="9" t="s">
        <v>270</v>
      </c>
      <c r="D121" s="9" t="s">
        <v>9</v>
      </c>
      <c r="E121" s="9" t="s">
        <v>23</v>
      </c>
    </row>
    <row r="122" customFormat="false" ht="15" hidden="false" customHeight="false" outlineLevel="0" collapsed="false">
      <c r="A122" s="9" t="s">
        <v>271</v>
      </c>
      <c r="B122" s="9" t="s">
        <v>272</v>
      </c>
      <c r="C122" s="9" t="s">
        <v>270</v>
      </c>
      <c r="D122" s="9" t="s">
        <v>9</v>
      </c>
      <c r="E122" s="9" t="s">
        <v>23</v>
      </c>
    </row>
    <row r="123" customFormat="false" ht="15" hidden="false" customHeight="false" outlineLevel="0" collapsed="false">
      <c r="A123" s="9" t="s">
        <v>273</v>
      </c>
      <c r="B123" s="9" t="s">
        <v>274</v>
      </c>
      <c r="C123" s="9" t="s">
        <v>270</v>
      </c>
      <c r="D123" s="9" t="s">
        <v>9</v>
      </c>
      <c r="E123" s="9" t="s">
        <v>23</v>
      </c>
    </row>
    <row r="124" customFormat="false" ht="15" hidden="false" customHeight="false" outlineLevel="0" collapsed="false">
      <c r="A124" s="9" t="s">
        <v>275</v>
      </c>
      <c r="B124" s="9" t="s">
        <v>276</v>
      </c>
      <c r="C124" s="9" t="s">
        <v>270</v>
      </c>
      <c r="D124" s="9" t="s">
        <v>9</v>
      </c>
      <c r="E124" s="9" t="s">
        <v>23</v>
      </c>
    </row>
    <row r="125" customFormat="false" ht="15" hidden="false" customHeight="false" outlineLevel="0" collapsed="false">
      <c r="A125" s="9" t="s">
        <v>277</v>
      </c>
      <c r="B125" s="9" t="s">
        <v>278</v>
      </c>
      <c r="C125" s="9" t="s">
        <v>270</v>
      </c>
      <c r="D125" s="9" t="s">
        <v>9</v>
      </c>
      <c r="E125" s="9" t="s">
        <v>23</v>
      </c>
    </row>
    <row r="126" customFormat="false" ht="15" hidden="false" customHeight="false" outlineLevel="0" collapsed="false">
      <c r="A126" s="9" t="s">
        <v>279</v>
      </c>
      <c r="B126" s="9" t="s">
        <v>280</v>
      </c>
      <c r="C126" s="9" t="s">
        <v>281</v>
      </c>
      <c r="D126" s="9" t="s">
        <v>10</v>
      </c>
      <c r="E126" s="9" t="s">
        <v>23</v>
      </c>
    </row>
    <row r="127" customFormat="false" ht="15" hidden="false" customHeight="false" outlineLevel="0" collapsed="false">
      <c r="A127" s="9" t="s">
        <v>282</v>
      </c>
      <c r="B127" s="9" t="s">
        <v>283</v>
      </c>
      <c r="C127" s="9" t="s">
        <v>281</v>
      </c>
      <c r="D127" s="9" t="s">
        <v>10</v>
      </c>
      <c r="E127" s="9" t="s">
        <v>23</v>
      </c>
    </row>
    <row r="128" customFormat="false" ht="15" hidden="false" customHeight="false" outlineLevel="0" collapsed="false">
      <c r="A128" s="9" t="s">
        <v>284</v>
      </c>
      <c r="B128" s="9" t="s">
        <v>285</v>
      </c>
      <c r="C128" s="9" t="s">
        <v>281</v>
      </c>
      <c r="D128" s="9" t="s">
        <v>10</v>
      </c>
      <c r="E128" s="9" t="s">
        <v>23</v>
      </c>
    </row>
    <row r="129" customFormat="false" ht="15" hidden="false" customHeight="false" outlineLevel="0" collapsed="false">
      <c r="A129" s="9" t="s">
        <v>286</v>
      </c>
      <c r="B129" s="9" t="s">
        <v>287</v>
      </c>
      <c r="C129" s="9" t="s">
        <v>281</v>
      </c>
      <c r="D129" s="9" t="s">
        <v>10</v>
      </c>
      <c r="E129" s="9" t="s">
        <v>23</v>
      </c>
    </row>
    <row r="130" customFormat="false" ht="15" hidden="false" customHeight="false" outlineLevel="0" collapsed="false">
      <c r="A130" s="9" t="s">
        <v>288</v>
      </c>
      <c r="B130" s="9" t="s">
        <v>289</v>
      </c>
      <c r="C130" s="9" t="s">
        <v>281</v>
      </c>
      <c r="D130" s="9" t="s">
        <v>10</v>
      </c>
      <c r="E130" s="9" t="s">
        <v>23</v>
      </c>
    </row>
    <row r="131" customFormat="false" ht="15" hidden="false" customHeight="false" outlineLevel="0" collapsed="false">
      <c r="A131" s="9" t="s">
        <v>290</v>
      </c>
      <c r="B131" s="9" t="s">
        <v>291</v>
      </c>
      <c r="C131" s="9" t="s">
        <v>281</v>
      </c>
      <c r="D131" s="9" t="s">
        <v>10</v>
      </c>
      <c r="E131" s="9" t="s">
        <v>23</v>
      </c>
    </row>
    <row r="132" customFormat="false" ht="15" hidden="false" customHeight="false" outlineLevel="0" collapsed="false">
      <c r="A132" s="9" t="s">
        <v>292</v>
      </c>
      <c r="B132" s="9" t="s">
        <v>293</v>
      </c>
      <c r="C132" s="9" t="s">
        <v>281</v>
      </c>
      <c r="D132" s="9" t="s">
        <v>10</v>
      </c>
      <c r="E132" s="9" t="s">
        <v>23</v>
      </c>
    </row>
    <row r="133" customFormat="false" ht="15" hidden="false" customHeight="false" outlineLevel="0" collapsed="false">
      <c r="A133" s="9" t="s">
        <v>294</v>
      </c>
      <c r="B133" s="9" t="s">
        <v>295</v>
      </c>
      <c r="C133" s="9" t="s">
        <v>281</v>
      </c>
      <c r="D133" s="9" t="s">
        <v>10</v>
      </c>
      <c r="E133" s="9" t="s">
        <v>23</v>
      </c>
    </row>
    <row r="134" customFormat="false" ht="15" hidden="false" customHeight="false" outlineLevel="0" collapsed="false">
      <c r="A134" s="9" t="s">
        <v>296</v>
      </c>
      <c r="B134" s="9" t="s">
        <v>297</v>
      </c>
      <c r="C134" s="9" t="s">
        <v>281</v>
      </c>
      <c r="D134" s="9" t="s">
        <v>10</v>
      </c>
      <c r="E134" s="9" t="s">
        <v>23</v>
      </c>
    </row>
    <row r="135" customFormat="false" ht="15" hidden="false" customHeight="false" outlineLevel="0" collapsed="false">
      <c r="A135" s="9" t="s">
        <v>298</v>
      </c>
      <c r="B135" s="9" t="s">
        <v>299</v>
      </c>
      <c r="C135" s="9" t="s">
        <v>281</v>
      </c>
      <c r="D135" s="9" t="s">
        <v>10</v>
      </c>
      <c r="E135" s="9" t="s">
        <v>23</v>
      </c>
    </row>
    <row r="136" customFormat="false" ht="15" hidden="false" customHeight="false" outlineLevel="0" collapsed="false">
      <c r="A136" s="9" t="s">
        <v>300</v>
      </c>
      <c r="B136" s="9" t="s">
        <v>301</v>
      </c>
      <c r="C136" s="9" t="s">
        <v>281</v>
      </c>
      <c r="D136" s="9" t="s">
        <v>10</v>
      </c>
      <c r="E136" s="9" t="s">
        <v>23</v>
      </c>
    </row>
    <row r="137" customFormat="false" ht="15" hidden="false" customHeight="false" outlineLevel="0" collapsed="false">
      <c r="A137" s="9" t="s">
        <v>302</v>
      </c>
      <c r="B137" s="9" t="s">
        <v>303</v>
      </c>
      <c r="C137" s="9" t="s">
        <v>304</v>
      </c>
      <c r="D137" s="9" t="s">
        <v>10</v>
      </c>
      <c r="E137" s="9" t="s">
        <v>23</v>
      </c>
    </row>
    <row r="138" customFormat="false" ht="15" hidden="false" customHeight="false" outlineLevel="0" collapsed="false">
      <c r="A138" s="9" t="s">
        <v>305</v>
      </c>
      <c r="B138" s="9" t="s">
        <v>306</v>
      </c>
      <c r="C138" s="9" t="s">
        <v>304</v>
      </c>
      <c r="D138" s="9" t="s">
        <v>10</v>
      </c>
      <c r="E138" s="9" t="s">
        <v>23</v>
      </c>
    </row>
    <row r="139" customFormat="false" ht="15" hidden="false" customHeight="false" outlineLevel="0" collapsed="false">
      <c r="A139" s="9" t="s">
        <v>307</v>
      </c>
      <c r="B139" s="9" t="s">
        <v>308</v>
      </c>
      <c r="C139" s="9" t="s">
        <v>304</v>
      </c>
      <c r="D139" s="9" t="s">
        <v>10</v>
      </c>
      <c r="E139" s="9" t="s">
        <v>23</v>
      </c>
    </row>
    <row r="140" customFormat="false" ht="15" hidden="false" customHeight="false" outlineLevel="0" collapsed="false">
      <c r="A140" s="9" t="s">
        <v>309</v>
      </c>
      <c r="B140" s="9" t="s">
        <v>310</v>
      </c>
      <c r="C140" s="9" t="s">
        <v>304</v>
      </c>
      <c r="D140" s="9" t="s">
        <v>10</v>
      </c>
      <c r="E140" s="9" t="s">
        <v>23</v>
      </c>
    </row>
    <row r="141" customFormat="false" ht="15" hidden="false" customHeight="false" outlineLevel="0" collapsed="false">
      <c r="A141" s="9" t="s">
        <v>311</v>
      </c>
      <c r="B141" s="9" t="s">
        <v>312</v>
      </c>
      <c r="C141" s="9" t="s">
        <v>304</v>
      </c>
      <c r="D141" s="9" t="s">
        <v>10</v>
      </c>
      <c r="E141" s="9" t="s">
        <v>23</v>
      </c>
    </row>
    <row r="142" customFormat="false" ht="15" hidden="false" customHeight="false" outlineLevel="0" collapsed="false">
      <c r="A142" s="9" t="s">
        <v>313</v>
      </c>
      <c r="B142" s="9" t="s">
        <v>314</v>
      </c>
      <c r="C142" s="9" t="s">
        <v>304</v>
      </c>
      <c r="D142" s="9" t="s">
        <v>10</v>
      </c>
      <c r="E142" s="9" t="s">
        <v>23</v>
      </c>
    </row>
    <row r="143" customFormat="false" ht="15" hidden="false" customHeight="false" outlineLevel="0" collapsed="false">
      <c r="A143" s="9" t="s">
        <v>315</v>
      </c>
      <c r="B143" s="9" t="s">
        <v>316</v>
      </c>
      <c r="C143" s="9" t="s">
        <v>304</v>
      </c>
      <c r="D143" s="9" t="s">
        <v>10</v>
      </c>
      <c r="E143" s="9" t="s">
        <v>23</v>
      </c>
    </row>
    <row r="144" customFormat="false" ht="15" hidden="false" customHeight="false" outlineLevel="0" collapsed="false">
      <c r="A144" s="9" t="s">
        <v>317</v>
      </c>
      <c r="B144" s="9" t="s">
        <v>318</v>
      </c>
      <c r="C144" s="9" t="s">
        <v>319</v>
      </c>
      <c r="D144" s="9" t="s">
        <v>10</v>
      </c>
      <c r="E144" s="9" t="s">
        <v>23</v>
      </c>
    </row>
    <row r="145" customFormat="false" ht="15" hidden="false" customHeight="false" outlineLevel="0" collapsed="false">
      <c r="A145" s="9" t="s">
        <v>320</v>
      </c>
      <c r="B145" s="9" t="s">
        <v>321</v>
      </c>
      <c r="C145" s="9" t="s">
        <v>319</v>
      </c>
      <c r="D145" s="9" t="s">
        <v>10</v>
      </c>
      <c r="E145" s="9" t="s">
        <v>23</v>
      </c>
    </row>
    <row r="146" customFormat="false" ht="15" hidden="false" customHeight="false" outlineLevel="0" collapsed="false">
      <c r="A146" s="9" t="s">
        <v>322</v>
      </c>
      <c r="B146" s="9" t="s">
        <v>323</v>
      </c>
      <c r="C146" s="9" t="s">
        <v>319</v>
      </c>
      <c r="D146" s="9" t="s">
        <v>10</v>
      </c>
      <c r="E146" s="9" t="s">
        <v>23</v>
      </c>
    </row>
    <row r="147" customFormat="false" ht="15" hidden="false" customHeight="false" outlineLevel="0" collapsed="false">
      <c r="A147" s="9" t="s">
        <v>324</v>
      </c>
      <c r="B147" s="9" t="s">
        <v>325</v>
      </c>
      <c r="C147" s="9" t="s">
        <v>319</v>
      </c>
      <c r="D147" s="9" t="s">
        <v>10</v>
      </c>
      <c r="E147" s="9" t="s">
        <v>23</v>
      </c>
    </row>
    <row r="148" customFormat="false" ht="15" hidden="false" customHeight="false" outlineLevel="0" collapsed="false">
      <c r="A148" s="9" t="s">
        <v>326</v>
      </c>
      <c r="B148" s="9" t="s">
        <v>327</v>
      </c>
      <c r="C148" s="9" t="s">
        <v>319</v>
      </c>
      <c r="D148" s="9" t="s">
        <v>10</v>
      </c>
      <c r="E148" s="9" t="s">
        <v>23</v>
      </c>
    </row>
    <row r="149" customFormat="false" ht="15" hidden="false" customHeight="false" outlineLevel="0" collapsed="false">
      <c r="A149" s="9" t="s">
        <v>328</v>
      </c>
      <c r="B149" s="9" t="s">
        <v>329</v>
      </c>
      <c r="C149" s="9" t="s">
        <v>319</v>
      </c>
      <c r="D149" s="9" t="s">
        <v>10</v>
      </c>
      <c r="E149" s="9" t="s">
        <v>23</v>
      </c>
    </row>
    <row r="150" customFormat="false" ht="15" hidden="false" customHeight="false" outlineLevel="0" collapsed="false">
      <c r="A150" s="9" t="s">
        <v>330</v>
      </c>
      <c r="B150" s="9" t="s">
        <v>331</v>
      </c>
      <c r="C150" s="9" t="s">
        <v>319</v>
      </c>
      <c r="D150" s="9" t="s">
        <v>10</v>
      </c>
      <c r="E150" s="9" t="s">
        <v>23</v>
      </c>
    </row>
    <row r="151" customFormat="false" ht="15" hidden="false" customHeight="false" outlineLevel="0" collapsed="false">
      <c r="A151" s="9" t="s">
        <v>332</v>
      </c>
      <c r="B151" s="9" t="s">
        <v>333</v>
      </c>
      <c r="C151" s="9" t="s">
        <v>319</v>
      </c>
      <c r="D151" s="9" t="s">
        <v>10</v>
      </c>
      <c r="E151" s="9" t="s">
        <v>23</v>
      </c>
    </row>
    <row r="152" customFormat="false" ht="15" hidden="false" customHeight="false" outlineLevel="0" collapsed="false">
      <c r="A152" s="9" t="s">
        <v>334</v>
      </c>
      <c r="B152" s="9" t="s">
        <v>335</v>
      </c>
      <c r="C152" s="9" t="s">
        <v>319</v>
      </c>
      <c r="D152" s="9" t="s">
        <v>10</v>
      </c>
      <c r="E152" s="9" t="s">
        <v>23</v>
      </c>
    </row>
    <row r="153" customFormat="false" ht="15" hidden="false" customHeight="false" outlineLevel="0" collapsed="false">
      <c r="A153" s="9" t="s">
        <v>336</v>
      </c>
      <c r="B153" s="9" t="s">
        <v>337</v>
      </c>
      <c r="C153" s="9" t="s">
        <v>319</v>
      </c>
      <c r="D153" s="9" t="s">
        <v>10</v>
      </c>
      <c r="E153" s="9" t="s">
        <v>23</v>
      </c>
    </row>
    <row r="154" customFormat="false" ht="15" hidden="false" customHeight="false" outlineLevel="0" collapsed="false">
      <c r="A154" s="9" t="s">
        <v>338</v>
      </c>
      <c r="B154" s="9" t="s">
        <v>339</v>
      </c>
      <c r="C154" s="9" t="s">
        <v>319</v>
      </c>
      <c r="D154" s="9" t="s">
        <v>10</v>
      </c>
      <c r="E154" s="9" t="s">
        <v>23</v>
      </c>
    </row>
    <row r="155" customFormat="false" ht="15" hidden="false" customHeight="false" outlineLevel="0" collapsed="false">
      <c r="A155" s="9" t="s">
        <v>340</v>
      </c>
      <c r="B155" s="9" t="s">
        <v>341</v>
      </c>
      <c r="C155" s="9" t="s">
        <v>319</v>
      </c>
      <c r="D155" s="9" t="s">
        <v>10</v>
      </c>
      <c r="E155" s="9" t="s">
        <v>23</v>
      </c>
    </row>
    <row r="156" customFormat="false" ht="15" hidden="false" customHeight="false" outlineLevel="0" collapsed="false">
      <c r="A156" s="9" t="s">
        <v>342</v>
      </c>
      <c r="B156" s="9" t="s">
        <v>343</v>
      </c>
      <c r="C156" s="9" t="s">
        <v>319</v>
      </c>
      <c r="D156" s="9" t="s">
        <v>10</v>
      </c>
      <c r="E156" s="9" t="s">
        <v>23</v>
      </c>
    </row>
    <row r="157" customFormat="false" ht="15" hidden="false" customHeight="false" outlineLevel="0" collapsed="false">
      <c r="A157" s="9" t="s">
        <v>344</v>
      </c>
      <c r="B157" s="9" t="s">
        <v>345</v>
      </c>
      <c r="C157" s="9" t="s">
        <v>346</v>
      </c>
      <c r="D157" s="9" t="s">
        <v>10</v>
      </c>
      <c r="E157" s="9" t="s">
        <v>23</v>
      </c>
    </row>
    <row r="158" customFormat="false" ht="15" hidden="false" customHeight="false" outlineLevel="0" collapsed="false">
      <c r="A158" s="9" t="s">
        <v>347</v>
      </c>
      <c r="B158" s="9" t="s">
        <v>348</v>
      </c>
      <c r="C158" s="9" t="s">
        <v>346</v>
      </c>
      <c r="D158" s="9" t="s">
        <v>10</v>
      </c>
      <c r="E158" s="9" t="s">
        <v>23</v>
      </c>
    </row>
    <row r="159" customFormat="false" ht="15" hidden="false" customHeight="false" outlineLevel="0" collapsed="false">
      <c r="A159" s="9" t="s">
        <v>349</v>
      </c>
      <c r="B159" s="9" t="s">
        <v>350</v>
      </c>
      <c r="C159" s="9" t="s">
        <v>346</v>
      </c>
      <c r="D159" s="9" t="s">
        <v>10</v>
      </c>
      <c r="E159" s="9" t="s">
        <v>23</v>
      </c>
    </row>
    <row r="160" customFormat="false" ht="15" hidden="false" customHeight="false" outlineLevel="0" collapsed="false">
      <c r="A160" s="9" t="s">
        <v>351</v>
      </c>
      <c r="B160" s="9" t="s">
        <v>352</v>
      </c>
      <c r="C160" s="9" t="s">
        <v>346</v>
      </c>
      <c r="D160" s="9" t="s">
        <v>10</v>
      </c>
      <c r="E160" s="9" t="s">
        <v>23</v>
      </c>
    </row>
    <row r="161" customFormat="false" ht="15" hidden="false" customHeight="false" outlineLevel="0" collapsed="false">
      <c r="A161" s="9" t="s">
        <v>353</v>
      </c>
      <c r="B161" s="9" t="s">
        <v>354</v>
      </c>
      <c r="C161" s="9" t="s">
        <v>346</v>
      </c>
      <c r="D161" s="9" t="s">
        <v>10</v>
      </c>
      <c r="E161" s="9" t="s">
        <v>23</v>
      </c>
    </row>
    <row r="162" customFormat="false" ht="15" hidden="false" customHeight="false" outlineLevel="0" collapsed="false">
      <c r="A162" s="9" t="s">
        <v>355</v>
      </c>
      <c r="B162" s="9" t="s">
        <v>356</v>
      </c>
      <c r="C162" s="9" t="s">
        <v>346</v>
      </c>
      <c r="D162" s="9" t="s">
        <v>10</v>
      </c>
      <c r="E162" s="9" t="s">
        <v>23</v>
      </c>
    </row>
    <row r="163" customFormat="false" ht="15" hidden="false" customHeight="false" outlineLevel="0" collapsed="false">
      <c r="A163" s="9" t="s">
        <v>357</v>
      </c>
      <c r="B163" s="9" t="s">
        <v>358</v>
      </c>
      <c r="C163" s="9" t="s">
        <v>346</v>
      </c>
      <c r="D163" s="9" t="s">
        <v>10</v>
      </c>
      <c r="E163" s="9" t="s">
        <v>23</v>
      </c>
    </row>
    <row r="164" customFormat="false" ht="15" hidden="false" customHeight="false" outlineLevel="0" collapsed="false">
      <c r="A164" s="9" t="s">
        <v>359</v>
      </c>
      <c r="B164" s="9" t="s">
        <v>360</v>
      </c>
      <c r="C164" s="9" t="s">
        <v>346</v>
      </c>
      <c r="D164" s="9" t="s">
        <v>10</v>
      </c>
      <c r="E164" s="9" t="s">
        <v>23</v>
      </c>
    </row>
    <row r="165" customFormat="false" ht="15" hidden="false" customHeight="false" outlineLevel="0" collapsed="false">
      <c r="A165" s="9" t="s">
        <v>361</v>
      </c>
      <c r="B165" s="9" t="s">
        <v>362</v>
      </c>
      <c r="C165" s="9" t="s">
        <v>346</v>
      </c>
      <c r="D165" s="9" t="s">
        <v>10</v>
      </c>
      <c r="E165" s="9" t="s">
        <v>23</v>
      </c>
    </row>
    <row r="166" customFormat="false" ht="15" hidden="false" customHeight="false" outlineLevel="0" collapsed="false">
      <c r="A166" s="9" t="s">
        <v>363</v>
      </c>
      <c r="B166" s="9" t="s">
        <v>364</v>
      </c>
      <c r="C166" s="9" t="s">
        <v>346</v>
      </c>
      <c r="D166" s="9" t="s">
        <v>10</v>
      </c>
      <c r="E166" s="9" t="s">
        <v>23</v>
      </c>
    </row>
    <row r="167" customFormat="false" ht="15" hidden="false" customHeight="false" outlineLevel="0" collapsed="false">
      <c r="A167" s="9" t="s">
        <v>365</v>
      </c>
      <c r="B167" s="9" t="s">
        <v>366</v>
      </c>
      <c r="C167" s="9" t="s">
        <v>367</v>
      </c>
      <c r="D167" s="9" t="s">
        <v>10</v>
      </c>
      <c r="E167" s="9" t="s">
        <v>23</v>
      </c>
    </row>
    <row r="168" customFormat="false" ht="15" hidden="false" customHeight="false" outlineLevel="0" collapsed="false">
      <c r="A168" s="9" t="s">
        <v>368</v>
      </c>
      <c r="B168" s="9" t="s">
        <v>369</v>
      </c>
      <c r="C168" s="9" t="s">
        <v>367</v>
      </c>
      <c r="D168" s="9" t="s">
        <v>10</v>
      </c>
      <c r="E168" s="9" t="s">
        <v>23</v>
      </c>
    </row>
    <row r="169" customFormat="false" ht="15" hidden="false" customHeight="false" outlineLevel="0" collapsed="false">
      <c r="A169" s="9" t="s">
        <v>370</v>
      </c>
      <c r="B169" s="9" t="s">
        <v>371</v>
      </c>
      <c r="C169" s="9" t="s">
        <v>367</v>
      </c>
      <c r="D169" s="9" t="s">
        <v>10</v>
      </c>
      <c r="E169" s="9" t="s">
        <v>23</v>
      </c>
    </row>
    <row r="170" customFormat="false" ht="15" hidden="false" customHeight="false" outlineLevel="0" collapsed="false">
      <c r="A170" s="9" t="s">
        <v>372</v>
      </c>
      <c r="B170" s="9" t="s">
        <v>373</v>
      </c>
      <c r="C170" s="9" t="s">
        <v>367</v>
      </c>
      <c r="D170" s="9" t="s">
        <v>10</v>
      </c>
      <c r="E170" s="9" t="s">
        <v>23</v>
      </c>
    </row>
    <row r="171" customFormat="false" ht="15" hidden="false" customHeight="false" outlineLevel="0" collapsed="false">
      <c r="A171" s="9" t="s">
        <v>374</v>
      </c>
      <c r="B171" s="9" t="s">
        <v>375</v>
      </c>
      <c r="C171" s="9" t="s">
        <v>367</v>
      </c>
      <c r="D171" s="9" t="s">
        <v>10</v>
      </c>
      <c r="E171" s="9" t="s">
        <v>23</v>
      </c>
    </row>
    <row r="172" customFormat="false" ht="15" hidden="false" customHeight="false" outlineLevel="0" collapsed="false">
      <c r="A172" s="9" t="s">
        <v>376</v>
      </c>
      <c r="B172" s="9" t="s">
        <v>377</v>
      </c>
      <c r="C172" s="9" t="s">
        <v>367</v>
      </c>
      <c r="D172" s="9" t="s">
        <v>10</v>
      </c>
      <c r="E172" s="9" t="s">
        <v>23</v>
      </c>
    </row>
    <row r="173" customFormat="false" ht="15" hidden="false" customHeight="false" outlineLevel="0" collapsed="false">
      <c r="A173" s="9" t="s">
        <v>378</v>
      </c>
      <c r="B173" s="9" t="s">
        <v>379</v>
      </c>
      <c r="C173" s="9" t="s">
        <v>367</v>
      </c>
      <c r="D173" s="9" t="s">
        <v>10</v>
      </c>
      <c r="E173" s="9" t="s">
        <v>23</v>
      </c>
    </row>
    <row r="174" customFormat="false" ht="15" hidden="false" customHeight="false" outlineLevel="0" collapsed="false">
      <c r="A174" s="9" t="s">
        <v>380</v>
      </c>
      <c r="B174" s="9" t="s">
        <v>381</v>
      </c>
      <c r="C174" s="9" t="s">
        <v>367</v>
      </c>
      <c r="D174" s="9" t="s">
        <v>10</v>
      </c>
      <c r="E174" s="9" t="s">
        <v>23</v>
      </c>
    </row>
    <row r="175" customFormat="false" ht="15" hidden="false" customHeight="false" outlineLevel="0" collapsed="false">
      <c r="A175" s="9" t="s">
        <v>382</v>
      </c>
      <c r="B175" s="9" t="s">
        <v>383</v>
      </c>
      <c r="C175" s="9" t="s">
        <v>367</v>
      </c>
      <c r="D175" s="9" t="s">
        <v>10</v>
      </c>
      <c r="E175" s="9" t="s">
        <v>23</v>
      </c>
    </row>
    <row r="176" customFormat="false" ht="15" hidden="false" customHeight="false" outlineLevel="0" collapsed="false">
      <c r="A176" s="9" t="s">
        <v>384</v>
      </c>
      <c r="B176" s="9" t="s">
        <v>385</v>
      </c>
      <c r="C176" s="9" t="s">
        <v>367</v>
      </c>
      <c r="D176" s="9" t="s">
        <v>10</v>
      </c>
      <c r="E176" s="9" t="s">
        <v>23</v>
      </c>
    </row>
    <row r="177" customFormat="false" ht="15" hidden="false" customHeight="false" outlineLevel="0" collapsed="false">
      <c r="A177" s="9" t="s">
        <v>386</v>
      </c>
      <c r="B177" s="9" t="s">
        <v>387</v>
      </c>
      <c r="C177" s="9" t="s">
        <v>388</v>
      </c>
      <c r="D177" s="9" t="s">
        <v>10</v>
      </c>
      <c r="E177" s="9" t="s">
        <v>23</v>
      </c>
    </row>
    <row r="178" customFormat="false" ht="15" hidden="false" customHeight="false" outlineLevel="0" collapsed="false">
      <c r="A178" s="9" t="s">
        <v>389</v>
      </c>
      <c r="B178" s="9" t="s">
        <v>390</v>
      </c>
      <c r="C178" s="9" t="s">
        <v>388</v>
      </c>
      <c r="D178" s="9" t="s">
        <v>10</v>
      </c>
      <c r="E178" s="9" t="s">
        <v>23</v>
      </c>
    </row>
    <row r="179" customFormat="false" ht="15" hidden="false" customHeight="false" outlineLevel="0" collapsed="false">
      <c r="A179" s="9" t="s">
        <v>391</v>
      </c>
      <c r="B179" s="9" t="s">
        <v>392</v>
      </c>
      <c r="C179" s="9" t="s">
        <v>388</v>
      </c>
      <c r="D179" s="9" t="s">
        <v>10</v>
      </c>
      <c r="E179" s="9" t="s">
        <v>23</v>
      </c>
    </row>
    <row r="180" customFormat="false" ht="15" hidden="false" customHeight="false" outlineLevel="0" collapsed="false">
      <c r="A180" s="9" t="s">
        <v>393</v>
      </c>
      <c r="B180" s="9" t="s">
        <v>394</v>
      </c>
      <c r="C180" s="9" t="s">
        <v>388</v>
      </c>
      <c r="D180" s="9" t="s">
        <v>10</v>
      </c>
      <c r="E180" s="9" t="s">
        <v>23</v>
      </c>
    </row>
    <row r="181" customFormat="false" ht="15" hidden="false" customHeight="false" outlineLevel="0" collapsed="false">
      <c r="A181" s="9" t="s">
        <v>395</v>
      </c>
      <c r="B181" s="9" t="s">
        <v>396</v>
      </c>
      <c r="C181" s="9" t="s">
        <v>388</v>
      </c>
      <c r="D181" s="9" t="s">
        <v>10</v>
      </c>
      <c r="E181" s="9" t="s">
        <v>23</v>
      </c>
    </row>
    <row r="182" customFormat="false" ht="15" hidden="false" customHeight="false" outlineLevel="0" collapsed="false">
      <c r="A182" s="9" t="s">
        <v>397</v>
      </c>
      <c r="B182" s="9" t="s">
        <v>398</v>
      </c>
      <c r="C182" s="9" t="s">
        <v>388</v>
      </c>
      <c r="D182" s="9" t="s">
        <v>10</v>
      </c>
      <c r="E182" s="9" t="s">
        <v>23</v>
      </c>
    </row>
    <row r="183" customFormat="false" ht="15" hidden="false" customHeight="false" outlineLevel="0" collapsed="false">
      <c r="A183" s="9" t="s">
        <v>399</v>
      </c>
      <c r="B183" s="9" t="s">
        <v>400</v>
      </c>
      <c r="C183" s="9" t="s">
        <v>388</v>
      </c>
      <c r="D183" s="9" t="s">
        <v>10</v>
      </c>
      <c r="E183" s="9" t="s">
        <v>23</v>
      </c>
    </row>
    <row r="184" customFormat="false" ht="15" hidden="false" customHeight="false" outlineLevel="0" collapsed="false">
      <c r="A184" s="9" t="s">
        <v>401</v>
      </c>
      <c r="B184" s="9" t="s">
        <v>402</v>
      </c>
      <c r="C184" s="9" t="s">
        <v>388</v>
      </c>
      <c r="D184" s="9" t="s">
        <v>10</v>
      </c>
      <c r="E184" s="9" t="s">
        <v>23</v>
      </c>
    </row>
    <row r="185" customFormat="false" ht="15" hidden="false" customHeight="false" outlineLevel="0" collapsed="false">
      <c r="A185" s="9" t="s">
        <v>403</v>
      </c>
      <c r="B185" s="9" t="s">
        <v>404</v>
      </c>
      <c r="C185" s="9" t="s">
        <v>388</v>
      </c>
      <c r="D185" s="9" t="s">
        <v>10</v>
      </c>
      <c r="E185" s="9" t="s">
        <v>23</v>
      </c>
    </row>
    <row r="186" customFormat="false" ht="15" hidden="false" customHeight="false" outlineLevel="0" collapsed="false">
      <c r="A186" s="9" t="s">
        <v>405</v>
      </c>
      <c r="B186" s="9" t="s">
        <v>406</v>
      </c>
      <c r="C186" s="9" t="s">
        <v>388</v>
      </c>
      <c r="D186" s="9" t="s">
        <v>10</v>
      </c>
      <c r="E186" s="9" t="s">
        <v>23</v>
      </c>
    </row>
    <row r="187" customFormat="false" ht="15" hidden="false" customHeight="false" outlineLevel="0" collapsed="false">
      <c r="A187" s="9" t="s">
        <v>407</v>
      </c>
      <c r="B187" s="9" t="s">
        <v>408</v>
      </c>
      <c r="C187" s="9" t="s">
        <v>409</v>
      </c>
      <c r="D187" s="9" t="s">
        <v>10</v>
      </c>
      <c r="E187" s="9" t="s">
        <v>23</v>
      </c>
    </row>
    <row r="188" customFormat="false" ht="15" hidden="false" customHeight="false" outlineLevel="0" collapsed="false">
      <c r="A188" s="9" t="s">
        <v>410</v>
      </c>
      <c r="B188" s="9" t="s">
        <v>411</v>
      </c>
      <c r="C188" s="9" t="s">
        <v>409</v>
      </c>
      <c r="D188" s="9" t="s">
        <v>10</v>
      </c>
      <c r="E188" s="9" t="s">
        <v>23</v>
      </c>
    </row>
    <row r="189" customFormat="false" ht="15" hidden="false" customHeight="false" outlineLevel="0" collapsed="false">
      <c r="A189" s="9" t="s">
        <v>412</v>
      </c>
      <c r="B189" s="9" t="s">
        <v>413</v>
      </c>
      <c r="C189" s="9" t="s">
        <v>409</v>
      </c>
      <c r="D189" s="9" t="s">
        <v>10</v>
      </c>
      <c r="E189" s="9" t="s">
        <v>23</v>
      </c>
    </row>
    <row r="190" customFormat="false" ht="15" hidden="false" customHeight="false" outlineLevel="0" collapsed="false">
      <c r="A190" s="9" t="s">
        <v>414</v>
      </c>
      <c r="B190" s="9" t="s">
        <v>415</v>
      </c>
      <c r="C190" s="9" t="s">
        <v>409</v>
      </c>
      <c r="D190" s="9" t="s">
        <v>10</v>
      </c>
      <c r="E190" s="9" t="s">
        <v>23</v>
      </c>
    </row>
    <row r="191" customFormat="false" ht="15" hidden="false" customHeight="false" outlineLevel="0" collapsed="false">
      <c r="A191" s="9" t="s">
        <v>416</v>
      </c>
      <c r="B191" s="9" t="s">
        <v>417</v>
      </c>
      <c r="C191" s="9" t="s">
        <v>409</v>
      </c>
      <c r="D191" s="9" t="s">
        <v>10</v>
      </c>
      <c r="E191" s="9" t="s">
        <v>23</v>
      </c>
    </row>
    <row r="192" customFormat="false" ht="15" hidden="false" customHeight="false" outlineLevel="0" collapsed="false">
      <c r="A192" s="9" t="s">
        <v>418</v>
      </c>
      <c r="B192" s="9" t="s">
        <v>419</v>
      </c>
      <c r="C192" s="9" t="s">
        <v>409</v>
      </c>
      <c r="D192" s="9" t="s">
        <v>10</v>
      </c>
      <c r="E192" s="9" t="s">
        <v>23</v>
      </c>
    </row>
    <row r="193" customFormat="false" ht="15" hidden="false" customHeight="false" outlineLevel="0" collapsed="false">
      <c r="A193" s="9" t="s">
        <v>420</v>
      </c>
      <c r="B193" s="9" t="s">
        <v>421</v>
      </c>
      <c r="C193" s="9" t="s">
        <v>409</v>
      </c>
      <c r="D193" s="9" t="s">
        <v>10</v>
      </c>
      <c r="E193" s="9" t="s">
        <v>23</v>
      </c>
    </row>
    <row r="194" customFormat="false" ht="15" hidden="false" customHeight="false" outlineLevel="0" collapsed="false">
      <c r="A194" s="9" t="s">
        <v>422</v>
      </c>
      <c r="B194" s="9" t="s">
        <v>423</v>
      </c>
      <c r="C194" s="9" t="s">
        <v>409</v>
      </c>
      <c r="D194" s="9" t="s">
        <v>10</v>
      </c>
      <c r="E194" s="9" t="s">
        <v>23</v>
      </c>
    </row>
    <row r="195" customFormat="false" ht="15" hidden="false" customHeight="false" outlineLevel="0" collapsed="false">
      <c r="A195" s="9" t="s">
        <v>424</v>
      </c>
      <c r="B195" s="9" t="s">
        <v>425</v>
      </c>
      <c r="C195" s="9" t="s">
        <v>409</v>
      </c>
      <c r="D195" s="9" t="s">
        <v>10</v>
      </c>
      <c r="E195" s="9" t="s">
        <v>23</v>
      </c>
    </row>
    <row r="196" customFormat="false" ht="15" hidden="false" customHeight="false" outlineLevel="0" collapsed="false">
      <c r="A196" s="9" t="s">
        <v>426</v>
      </c>
      <c r="B196" s="9" t="s">
        <v>427</v>
      </c>
      <c r="C196" s="9" t="s">
        <v>409</v>
      </c>
      <c r="D196" s="9" t="s">
        <v>10</v>
      </c>
      <c r="E196" s="9" t="s">
        <v>23</v>
      </c>
    </row>
    <row r="197" customFormat="false" ht="15" hidden="false" customHeight="false" outlineLevel="0" collapsed="false">
      <c r="A197" s="9" t="s">
        <v>428</v>
      </c>
      <c r="B197" s="9" t="s">
        <v>429</v>
      </c>
      <c r="C197" s="9" t="s">
        <v>430</v>
      </c>
      <c r="D197" s="9" t="s">
        <v>10</v>
      </c>
      <c r="E197" s="9" t="s">
        <v>23</v>
      </c>
    </row>
    <row r="198" customFormat="false" ht="15" hidden="false" customHeight="false" outlineLevel="0" collapsed="false">
      <c r="A198" s="9" t="s">
        <v>431</v>
      </c>
      <c r="B198" s="9" t="s">
        <v>432</v>
      </c>
      <c r="C198" s="9" t="s">
        <v>430</v>
      </c>
      <c r="D198" s="9" t="s">
        <v>10</v>
      </c>
      <c r="E198" s="9" t="s">
        <v>23</v>
      </c>
    </row>
    <row r="199" customFormat="false" ht="15" hidden="false" customHeight="false" outlineLevel="0" collapsed="false">
      <c r="A199" s="9" t="s">
        <v>433</v>
      </c>
      <c r="B199" s="9" t="s">
        <v>434</v>
      </c>
      <c r="C199" s="9" t="s">
        <v>430</v>
      </c>
      <c r="D199" s="9" t="s">
        <v>10</v>
      </c>
      <c r="E199" s="9" t="s">
        <v>23</v>
      </c>
    </row>
    <row r="200" customFormat="false" ht="15" hidden="false" customHeight="false" outlineLevel="0" collapsed="false">
      <c r="A200" s="9" t="s">
        <v>435</v>
      </c>
      <c r="B200" s="9" t="s">
        <v>436</v>
      </c>
      <c r="C200" s="9" t="s">
        <v>430</v>
      </c>
      <c r="D200" s="9" t="s">
        <v>10</v>
      </c>
      <c r="E200" s="9" t="s">
        <v>23</v>
      </c>
    </row>
    <row r="201" customFormat="false" ht="15" hidden="false" customHeight="false" outlineLevel="0" collapsed="false">
      <c r="A201" s="9" t="s">
        <v>437</v>
      </c>
      <c r="B201" s="9" t="s">
        <v>438</v>
      </c>
      <c r="C201" s="9" t="s">
        <v>430</v>
      </c>
      <c r="D201" s="9" t="s">
        <v>10</v>
      </c>
      <c r="E201" s="9" t="s">
        <v>23</v>
      </c>
    </row>
    <row r="202" customFormat="false" ht="15" hidden="false" customHeight="false" outlineLevel="0" collapsed="false">
      <c r="A202" s="9" t="s">
        <v>439</v>
      </c>
      <c r="B202" s="9" t="s">
        <v>440</v>
      </c>
      <c r="C202" s="9" t="s">
        <v>430</v>
      </c>
      <c r="D202" s="9" t="s">
        <v>10</v>
      </c>
      <c r="E202" s="9" t="s">
        <v>23</v>
      </c>
    </row>
    <row r="203" customFormat="false" ht="15" hidden="false" customHeight="false" outlineLevel="0" collapsed="false">
      <c r="A203" s="9" t="s">
        <v>441</v>
      </c>
      <c r="B203" s="9" t="s">
        <v>442</v>
      </c>
      <c r="C203" s="9" t="s">
        <v>430</v>
      </c>
      <c r="D203" s="9" t="s">
        <v>10</v>
      </c>
      <c r="E203" s="9" t="s">
        <v>23</v>
      </c>
    </row>
    <row r="204" customFormat="false" ht="15" hidden="false" customHeight="false" outlineLevel="0" collapsed="false">
      <c r="A204" s="9" t="s">
        <v>443</v>
      </c>
      <c r="B204" s="9" t="s">
        <v>444</v>
      </c>
      <c r="C204" s="9" t="s">
        <v>430</v>
      </c>
      <c r="D204" s="9" t="s">
        <v>10</v>
      </c>
      <c r="E204" s="9" t="s">
        <v>23</v>
      </c>
    </row>
    <row r="205" customFormat="false" ht="15" hidden="false" customHeight="false" outlineLevel="0" collapsed="false">
      <c r="A205" s="9" t="s">
        <v>445</v>
      </c>
      <c r="B205" s="9" t="s">
        <v>446</v>
      </c>
      <c r="C205" s="9" t="s">
        <v>430</v>
      </c>
      <c r="D205" s="9" t="s">
        <v>10</v>
      </c>
      <c r="E205" s="9" t="s">
        <v>23</v>
      </c>
    </row>
    <row r="206" customFormat="false" ht="15" hidden="false" customHeight="false" outlineLevel="0" collapsed="false">
      <c r="A206" s="9" t="s">
        <v>447</v>
      </c>
      <c r="B206" s="9" t="s">
        <v>448</v>
      </c>
      <c r="C206" s="9" t="s">
        <v>430</v>
      </c>
      <c r="D206" s="9" t="s">
        <v>10</v>
      </c>
      <c r="E206" s="9" t="s">
        <v>23</v>
      </c>
    </row>
    <row r="207" customFormat="false" ht="15" hidden="false" customHeight="false" outlineLevel="0" collapsed="false">
      <c r="A207" s="9" t="s">
        <v>449</v>
      </c>
      <c r="B207" s="9" t="s">
        <v>450</v>
      </c>
      <c r="C207" s="9" t="s">
        <v>430</v>
      </c>
      <c r="D207" s="9" t="s">
        <v>10</v>
      </c>
      <c r="E207" s="9" t="s">
        <v>23</v>
      </c>
    </row>
    <row r="208" customFormat="false" ht="15" hidden="false" customHeight="false" outlineLevel="0" collapsed="false">
      <c r="A208" s="9" t="s">
        <v>451</v>
      </c>
      <c r="B208" s="9" t="s">
        <v>452</v>
      </c>
      <c r="C208" s="9" t="s">
        <v>453</v>
      </c>
      <c r="D208" s="9" t="s">
        <v>11</v>
      </c>
      <c r="E208" s="9" t="s">
        <v>23</v>
      </c>
    </row>
    <row r="209" customFormat="false" ht="15" hidden="false" customHeight="false" outlineLevel="0" collapsed="false">
      <c r="A209" s="9" t="s">
        <v>454</v>
      </c>
      <c r="B209" s="9" t="s">
        <v>455</v>
      </c>
      <c r="C209" s="9" t="s">
        <v>453</v>
      </c>
      <c r="D209" s="9" t="s">
        <v>11</v>
      </c>
      <c r="E209" s="9" t="s">
        <v>23</v>
      </c>
    </row>
    <row r="210" customFormat="false" ht="15" hidden="false" customHeight="false" outlineLevel="0" collapsed="false">
      <c r="A210" s="9" t="s">
        <v>456</v>
      </c>
      <c r="B210" s="9" t="s">
        <v>457</v>
      </c>
      <c r="C210" s="9" t="s">
        <v>453</v>
      </c>
      <c r="D210" s="9" t="s">
        <v>11</v>
      </c>
      <c r="E210" s="9" t="s">
        <v>23</v>
      </c>
    </row>
    <row r="211" customFormat="false" ht="15" hidden="false" customHeight="false" outlineLevel="0" collapsed="false">
      <c r="A211" s="9" t="s">
        <v>458</v>
      </c>
      <c r="B211" s="9" t="s">
        <v>459</v>
      </c>
      <c r="C211" s="9" t="s">
        <v>453</v>
      </c>
      <c r="D211" s="9" t="s">
        <v>11</v>
      </c>
      <c r="E211" s="9" t="s">
        <v>23</v>
      </c>
    </row>
    <row r="212" customFormat="false" ht="15" hidden="false" customHeight="false" outlineLevel="0" collapsed="false">
      <c r="A212" s="9" t="s">
        <v>460</v>
      </c>
      <c r="B212" s="9" t="s">
        <v>461</v>
      </c>
      <c r="C212" s="9" t="s">
        <v>453</v>
      </c>
      <c r="D212" s="9" t="s">
        <v>11</v>
      </c>
      <c r="E212" s="9" t="s">
        <v>23</v>
      </c>
    </row>
    <row r="213" customFormat="false" ht="15" hidden="false" customHeight="false" outlineLevel="0" collapsed="false">
      <c r="A213" s="9" t="s">
        <v>462</v>
      </c>
      <c r="B213" s="9" t="s">
        <v>463</v>
      </c>
      <c r="C213" s="9" t="s">
        <v>453</v>
      </c>
      <c r="D213" s="9" t="s">
        <v>11</v>
      </c>
      <c r="E213" s="9" t="s">
        <v>23</v>
      </c>
    </row>
    <row r="214" customFormat="false" ht="15" hidden="false" customHeight="false" outlineLevel="0" collapsed="false">
      <c r="A214" s="9" t="s">
        <v>464</v>
      </c>
      <c r="B214" s="9" t="s">
        <v>465</v>
      </c>
      <c r="C214" s="9" t="s">
        <v>453</v>
      </c>
      <c r="D214" s="9" t="s">
        <v>11</v>
      </c>
      <c r="E214" s="9" t="s">
        <v>23</v>
      </c>
    </row>
    <row r="215" customFormat="false" ht="15" hidden="false" customHeight="false" outlineLevel="0" collapsed="false">
      <c r="A215" s="9" t="s">
        <v>466</v>
      </c>
      <c r="B215" s="9" t="s">
        <v>467</v>
      </c>
      <c r="C215" s="9" t="s">
        <v>453</v>
      </c>
      <c r="D215" s="9" t="s">
        <v>11</v>
      </c>
      <c r="E215" s="9" t="s">
        <v>23</v>
      </c>
    </row>
    <row r="216" customFormat="false" ht="15" hidden="false" customHeight="false" outlineLevel="0" collapsed="false">
      <c r="A216" s="9" t="s">
        <v>468</v>
      </c>
      <c r="B216" s="9" t="s">
        <v>469</v>
      </c>
      <c r="C216" s="9" t="s">
        <v>453</v>
      </c>
      <c r="D216" s="9" t="s">
        <v>11</v>
      </c>
      <c r="E216" s="9" t="s">
        <v>23</v>
      </c>
    </row>
    <row r="217" customFormat="false" ht="15" hidden="false" customHeight="false" outlineLevel="0" collapsed="false">
      <c r="A217" s="9" t="s">
        <v>470</v>
      </c>
      <c r="B217" s="9" t="s">
        <v>471</v>
      </c>
      <c r="C217" s="9" t="s">
        <v>472</v>
      </c>
      <c r="D217" s="9" t="s">
        <v>11</v>
      </c>
      <c r="E217" s="9" t="s">
        <v>23</v>
      </c>
    </row>
    <row r="218" customFormat="false" ht="15" hidden="false" customHeight="false" outlineLevel="0" collapsed="false">
      <c r="A218" s="9" t="s">
        <v>473</v>
      </c>
      <c r="B218" s="9" t="s">
        <v>474</v>
      </c>
      <c r="C218" s="9" t="s">
        <v>472</v>
      </c>
      <c r="D218" s="9" t="s">
        <v>11</v>
      </c>
      <c r="E218" s="9" t="s">
        <v>23</v>
      </c>
    </row>
    <row r="219" customFormat="false" ht="15" hidden="false" customHeight="false" outlineLevel="0" collapsed="false">
      <c r="A219" s="9" t="s">
        <v>475</v>
      </c>
      <c r="B219" s="9" t="s">
        <v>476</v>
      </c>
      <c r="C219" s="9" t="s">
        <v>472</v>
      </c>
      <c r="D219" s="9" t="s">
        <v>11</v>
      </c>
      <c r="E219" s="9" t="s">
        <v>23</v>
      </c>
    </row>
    <row r="220" customFormat="false" ht="15" hidden="false" customHeight="false" outlineLevel="0" collapsed="false">
      <c r="A220" s="9" t="s">
        <v>477</v>
      </c>
      <c r="B220" s="9" t="s">
        <v>478</v>
      </c>
      <c r="C220" s="9" t="s">
        <v>472</v>
      </c>
      <c r="D220" s="9" t="s">
        <v>11</v>
      </c>
      <c r="E220" s="9" t="s">
        <v>23</v>
      </c>
    </row>
    <row r="221" customFormat="false" ht="15" hidden="false" customHeight="false" outlineLevel="0" collapsed="false">
      <c r="A221" s="9" t="s">
        <v>479</v>
      </c>
      <c r="B221" s="9" t="s">
        <v>480</v>
      </c>
      <c r="C221" s="9" t="s">
        <v>472</v>
      </c>
      <c r="D221" s="9" t="s">
        <v>11</v>
      </c>
      <c r="E221" s="9" t="s">
        <v>23</v>
      </c>
    </row>
    <row r="222" customFormat="false" ht="15" hidden="false" customHeight="false" outlineLevel="0" collapsed="false">
      <c r="A222" s="9" t="s">
        <v>481</v>
      </c>
      <c r="B222" s="9" t="s">
        <v>482</v>
      </c>
      <c r="C222" s="9" t="s">
        <v>472</v>
      </c>
      <c r="D222" s="9" t="s">
        <v>11</v>
      </c>
      <c r="E222" s="9" t="s">
        <v>23</v>
      </c>
    </row>
    <row r="223" customFormat="false" ht="15" hidden="false" customHeight="false" outlineLevel="0" collapsed="false">
      <c r="A223" s="9" t="s">
        <v>483</v>
      </c>
      <c r="B223" s="9" t="s">
        <v>484</v>
      </c>
      <c r="C223" s="9" t="s">
        <v>472</v>
      </c>
      <c r="D223" s="9" t="s">
        <v>11</v>
      </c>
      <c r="E223" s="9" t="s">
        <v>23</v>
      </c>
    </row>
    <row r="224" customFormat="false" ht="15" hidden="false" customHeight="false" outlineLevel="0" collapsed="false">
      <c r="A224" s="9" t="s">
        <v>485</v>
      </c>
      <c r="B224" s="9" t="s">
        <v>486</v>
      </c>
      <c r="C224" s="9" t="s">
        <v>487</v>
      </c>
      <c r="D224" s="9" t="s">
        <v>11</v>
      </c>
      <c r="E224" s="9" t="s">
        <v>23</v>
      </c>
    </row>
    <row r="225" customFormat="false" ht="15" hidden="false" customHeight="false" outlineLevel="0" collapsed="false">
      <c r="A225" s="9" t="s">
        <v>488</v>
      </c>
      <c r="B225" s="9" t="s">
        <v>489</v>
      </c>
      <c r="C225" s="9" t="s">
        <v>487</v>
      </c>
      <c r="D225" s="9" t="s">
        <v>11</v>
      </c>
      <c r="E225" s="9" t="s">
        <v>23</v>
      </c>
    </row>
    <row r="226" customFormat="false" ht="15" hidden="false" customHeight="false" outlineLevel="0" collapsed="false">
      <c r="A226" s="9" t="s">
        <v>490</v>
      </c>
      <c r="B226" s="9" t="s">
        <v>491</v>
      </c>
      <c r="C226" s="9" t="s">
        <v>487</v>
      </c>
      <c r="D226" s="9" t="s">
        <v>11</v>
      </c>
      <c r="E226" s="9" t="s">
        <v>23</v>
      </c>
    </row>
    <row r="227" customFormat="false" ht="15" hidden="false" customHeight="false" outlineLevel="0" collapsed="false">
      <c r="A227" s="9" t="s">
        <v>492</v>
      </c>
      <c r="B227" s="9" t="s">
        <v>493</v>
      </c>
      <c r="C227" s="9" t="s">
        <v>487</v>
      </c>
      <c r="D227" s="9" t="s">
        <v>11</v>
      </c>
      <c r="E227" s="9" t="s">
        <v>23</v>
      </c>
    </row>
    <row r="228" customFormat="false" ht="15" hidden="false" customHeight="false" outlineLevel="0" collapsed="false">
      <c r="A228" s="9" t="s">
        <v>494</v>
      </c>
      <c r="B228" s="9" t="s">
        <v>495</v>
      </c>
      <c r="C228" s="9" t="s">
        <v>487</v>
      </c>
      <c r="D228" s="9" t="s">
        <v>11</v>
      </c>
      <c r="E228" s="9" t="s">
        <v>23</v>
      </c>
    </row>
    <row r="229" customFormat="false" ht="15" hidden="false" customHeight="false" outlineLevel="0" collapsed="false">
      <c r="A229" s="9" t="s">
        <v>496</v>
      </c>
      <c r="B229" s="9" t="s">
        <v>497</v>
      </c>
      <c r="C229" s="9" t="s">
        <v>487</v>
      </c>
      <c r="D229" s="9" t="s">
        <v>11</v>
      </c>
      <c r="E229" s="9" t="s">
        <v>23</v>
      </c>
    </row>
    <row r="230" customFormat="false" ht="15" hidden="false" customHeight="false" outlineLevel="0" collapsed="false">
      <c r="A230" s="9" t="s">
        <v>498</v>
      </c>
      <c r="B230" s="9" t="s">
        <v>499</v>
      </c>
      <c r="C230" s="9" t="s">
        <v>487</v>
      </c>
      <c r="D230" s="9" t="s">
        <v>11</v>
      </c>
      <c r="E230" s="9" t="s">
        <v>23</v>
      </c>
    </row>
    <row r="231" customFormat="false" ht="15" hidden="false" customHeight="false" outlineLevel="0" collapsed="false">
      <c r="A231" s="9" t="s">
        <v>500</v>
      </c>
      <c r="B231" s="9" t="s">
        <v>501</v>
      </c>
      <c r="C231" s="9" t="s">
        <v>487</v>
      </c>
      <c r="D231" s="9" t="s">
        <v>11</v>
      </c>
      <c r="E231" s="9" t="s">
        <v>23</v>
      </c>
    </row>
    <row r="232" customFormat="false" ht="15" hidden="false" customHeight="false" outlineLevel="0" collapsed="false">
      <c r="A232" s="9" t="s">
        <v>502</v>
      </c>
      <c r="B232" s="9" t="s">
        <v>503</v>
      </c>
      <c r="C232" s="9" t="s">
        <v>487</v>
      </c>
      <c r="D232" s="9" t="s">
        <v>11</v>
      </c>
      <c r="E232" s="9" t="s">
        <v>23</v>
      </c>
    </row>
    <row r="233" customFormat="false" ht="15" hidden="false" customHeight="false" outlineLevel="0" collapsed="false">
      <c r="A233" s="9" t="s">
        <v>504</v>
      </c>
      <c r="B233" s="9" t="s">
        <v>505</v>
      </c>
      <c r="C233" s="9" t="s">
        <v>487</v>
      </c>
      <c r="D233" s="9" t="s">
        <v>11</v>
      </c>
      <c r="E233" s="9" t="s">
        <v>23</v>
      </c>
    </row>
    <row r="234" customFormat="false" ht="15" hidden="false" customHeight="false" outlineLevel="0" collapsed="false">
      <c r="A234" s="9" t="s">
        <v>506</v>
      </c>
      <c r="B234" s="9" t="s">
        <v>507</v>
      </c>
      <c r="C234" s="9" t="s">
        <v>487</v>
      </c>
      <c r="D234" s="9" t="s">
        <v>11</v>
      </c>
      <c r="E234" s="9" t="s">
        <v>23</v>
      </c>
    </row>
    <row r="235" customFormat="false" ht="15" hidden="false" customHeight="false" outlineLevel="0" collapsed="false">
      <c r="A235" s="9" t="s">
        <v>508</v>
      </c>
      <c r="B235" s="9" t="s">
        <v>509</v>
      </c>
      <c r="C235" s="9" t="s">
        <v>487</v>
      </c>
      <c r="D235" s="9" t="s">
        <v>11</v>
      </c>
      <c r="E235" s="9" t="s">
        <v>23</v>
      </c>
    </row>
    <row r="236" customFormat="false" ht="15" hidden="false" customHeight="false" outlineLevel="0" collapsed="false">
      <c r="A236" s="9" t="s">
        <v>510</v>
      </c>
      <c r="B236" s="9" t="s">
        <v>511</v>
      </c>
      <c r="C236" s="9" t="s">
        <v>487</v>
      </c>
      <c r="D236" s="9" t="s">
        <v>11</v>
      </c>
      <c r="E236" s="9" t="s">
        <v>23</v>
      </c>
    </row>
    <row r="237" customFormat="false" ht="15" hidden="false" customHeight="false" outlineLevel="0" collapsed="false">
      <c r="A237" s="9" t="s">
        <v>512</v>
      </c>
      <c r="B237" s="9" t="s">
        <v>181</v>
      </c>
      <c r="C237" s="9" t="s">
        <v>487</v>
      </c>
      <c r="D237" s="9" t="s">
        <v>11</v>
      </c>
      <c r="E237" s="9" t="s">
        <v>23</v>
      </c>
    </row>
    <row r="238" customFormat="false" ht="15" hidden="false" customHeight="false" outlineLevel="0" collapsed="false">
      <c r="A238" s="9" t="s">
        <v>513</v>
      </c>
      <c r="B238" s="9" t="s">
        <v>514</v>
      </c>
      <c r="C238" s="9" t="s">
        <v>515</v>
      </c>
      <c r="D238" s="9" t="s">
        <v>11</v>
      </c>
      <c r="E238" s="9" t="s">
        <v>23</v>
      </c>
    </row>
    <row r="239" customFormat="false" ht="15" hidden="false" customHeight="false" outlineLevel="0" collapsed="false">
      <c r="A239" s="9" t="s">
        <v>516</v>
      </c>
      <c r="B239" s="9" t="s">
        <v>517</v>
      </c>
      <c r="C239" s="9" t="s">
        <v>515</v>
      </c>
      <c r="D239" s="9" t="s">
        <v>11</v>
      </c>
      <c r="E239" s="9" t="s">
        <v>23</v>
      </c>
    </row>
    <row r="240" customFormat="false" ht="15" hidden="false" customHeight="false" outlineLevel="0" collapsed="false">
      <c r="A240" s="9" t="s">
        <v>518</v>
      </c>
      <c r="B240" s="9" t="s">
        <v>519</v>
      </c>
      <c r="C240" s="9" t="s">
        <v>515</v>
      </c>
      <c r="D240" s="9" t="s">
        <v>11</v>
      </c>
      <c r="E240" s="9" t="s">
        <v>23</v>
      </c>
    </row>
    <row r="241" customFormat="false" ht="15" hidden="false" customHeight="false" outlineLevel="0" collapsed="false">
      <c r="A241" s="9" t="s">
        <v>520</v>
      </c>
      <c r="B241" s="9" t="s">
        <v>521</v>
      </c>
      <c r="C241" s="9" t="s">
        <v>515</v>
      </c>
      <c r="D241" s="9" t="s">
        <v>11</v>
      </c>
      <c r="E241" s="9" t="s">
        <v>23</v>
      </c>
    </row>
    <row r="242" customFormat="false" ht="15" hidden="false" customHeight="false" outlineLevel="0" collapsed="false">
      <c r="A242" s="9" t="s">
        <v>522</v>
      </c>
      <c r="B242" s="9" t="s">
        <v>523</v>
      </c>
      <c r="C242" s="9" t="s">
        <v>515</v>
      </c>
      <c r="D242" s="9" t="s">
        <v>11</v>
      </c>
      <c r="E242" s="9" t="s">
        <v>23</v>
      </c>
    </row>
    <row r="243" customFormat="false" ht="15" hidden="false" customHeight="false" outlineLevel="0" collapsed="false">
      <c r="A243" s="9" t="s">
        <v>524</v>
      </c>
      <c r="B243" s="9" t="s">
        <v>525</v>
      </c>
      <c r="C243" s="9" t="s">
        <v>515</v>
      </c>
      <c r="D243" s="9" t="s">
        <v>11</v>
      </c>
      <c r="E243" s="9" t="s">
        <v>23</v>
      </c>
    </row>
    <row r="244" customFormat="false" ht="15" hidden="false" customHeight="false" outlineLevel="0" collapsed="false">
      <c r="A244" s="9" t="s">
        <v>526</v>
      </c>
      <c r="B244" s="9" t="s">
        <v>527</v>
      </c>
      <c r="C244" s="9" t="s">
        <v>515</v>
      </c>
      <c r="D244" s="9" t="s">
        <v>11</v>
      </c>
      <c r="E244" s="9" t="s">
        <v>23</v>
      </c>
    </row>
    <row r="245" customFormat="false" ht="15" hidden="false" customHeight="false" outlineLevel="0" collapsed="false">
      <c r="A245" s="9" t="s">
        <v>528</v>
      </c>
      <c r="B245" s="9" t="s">
        <v>529</v>
      </c>
      <c r="C245" s="9" t="s">
        <v>515</v>
      </c>
      <c r="D245" s="9" t="s">
        <v>11</v>
      </c>
      <c r="E245" s="9" t="s">
        <v>23</v>
      </c>
    </row>
    <row r="246" customFormat="false" ht="15" hidden="false" customHeight="false" outlineLevel="0" collapsed="false">
      <c r="A246" s="9" t="s">
        <v>530</v>
      </c>
      <c r="B246" s="9" t="s">
        <v>531</v>
      </c>
      <c r="C246" s="9" t="s">
        <v>515</v>
      </c>
      <c r="D246" s="9" t="s">
        <v>11</v>
      </c>
      <c r="E246" s="9" t="s">
        <v>23</v>
      </c>
    </row>
    <row r="247" customFormat="false" ht="15" hidden="false" customHeight="false" outlineLevel="0" collapsed="false">
      <c r="A247" s="9" t="s">
        <v>532</v>
      </c>
      <c r="B247" s="9" t="s">
        <v>533</v>
      </c>
      <c r="C247" s="9" t="s">
        <v>534</v>
      </c>
      <c r="D247" s="9" t="s">
        <v>11</v>
      </c>
      <c r="E247" s="9" t="s">
        <v>23</v>
      </c>
    </row>
    <row r="248" customFormat="false" ht="15" hidden="false" customHeight="false" outlineLevel="0" collapsed="false">
      <c r="A248" s="9" t="s">
        <v>535</v>
      </c>
      <c r="B248" s="9" t="s">
        <v>536</v>
      </c>
      <c r="C248" s="9" t="s">
        <v>534</v>
      </c>
      <c r="D248" s="9" t="s">
        <v>11</v>
      </c>
      <c r="E248" s="9" t="s">
        <v>23</v>
      </c>
    </row>
    <row r="249" customFormat="false" ht="15" hidden="false" customHeight="false" outlineLevel="0" collapsed="false">
      <c r="A249" s="9" t="s">
        <v>537</v>
      </c>
      <c r="B249" s="9" t="s">
        <v>538</v>
      </c>
      <c r="C249" s="9" t="s">
        <v>539</v>
      </c>
      <c r="D249" s="9" t="s">
        <v>11</v>
      </c>
      <c r="E249" s="9" t="s">
        <v>23</v>
      </c>
    </row>
    <row r="250" customFormat="false" ht="15" hidden="false" customHeight="false" outlineLevel="0" collapsed="false">
      <c r="A250" s="9" t="s">
        <v>540</v>
      </c>
      <c r="B250" s="9" t="s">
        <v>541</v>
      </c>
      <c r="C250" s="9" t="s">
        <v>534</v>
      </c>
      <c r="D250" s="9" t="s">
        <v>11</v>
      </c>
      <c r="E250" s="9" t="s">
        <v>23</v>
      </c>
    </row>
    <row r="251" customFormat="false" ht="15" hidden="false" customHeight="false" outlineLevel="0" collapsed="false">
      <c r="A251" s="9" t="s">
        <v>542</v>
      </c>
      <c r="B251" s="9" t="s">
        <v>543</v>
      </c>
      <c r="C251" s="9" t="s">
        <v>534</v>
      </c>
      <c r="D251" s="9" t="s">
        <v>11</v>
      </c>
      <c r="E251" s="9" t="s">
        <v>23</v>
      </c>
    </row>
    <row r="252" customFormat="false" ht="15" hidden="false" customHeight="false" outlineLevel="0" collapsed="false">
      <c r="A252" s="9" t="s">
        <v>544</v>
      </c>
      <c r="B252" s="9" t="s">
        <v>545</v>
      </c>
      <c r="C252" s="9" t="s">
        <v>534</v>
      </c>
      <c r="D252" s="9" t="s">
        <v>11</v>
      </c>
      <c r="E252" s="9" t="s">
        <v>23</v>
      </c>
    </row>
    <row r="253" customFormat="false" ht="15" hidden="false" customHeight="false" outlineLevel="0" collapsed="false">
      <c r="A253" s="9" t="s">
        <v>546</v>
      </c>
      <c r="B253" s="9" t="s">
        <v>547</v>
      </c>
      <c r="C253" s="9" t="s">
        <v>534</v>
      </c>
      <c r="D253" s="9" t="s">
        <v>11</v>
      </c>
      <c r="E253" s="9" t="s">
        <v>23</v>
      </c>
    </row>
    <row r="254" customFormat="false" ht="15" hidden="false" customHeight="false" outlineLevel="0" collapsed="false">
      <c r="A254" s="9" t="s">
        <v>548</v>
      </c>
      <c r="B254" s="9" t="s">
        <v>549</v>
      </c>
      <c r="C254" s="9" t="s">
        <v>534</v>
      </c>
      <c r="D254" s="9" t="s">
        <v>11</v>
      </c>
      <c r="E254" s="9" t="s">
        <v>23</v>
      </c>
    </row>
    <row r="255" customFormat="false" ht="15" hidden="false" customHeight="false" outlineLevel="0" collapsed="false">
      <c r="A255" s="9" t="s">
        <v>550</v>
      </c>
      <c r="B255" s="9" t="s">
        <v>551</v>
      </c>
      <c r="C255" s="9" t="s">
        <v>534</v>
      </c>
      <c r="D255" s="9" t="s">
        <v>11</v>
      </c>
      <c r="E255" s="9" t="s">
        <v>23</v>
      </c>
    </row>
    <row r="256" customFormat="false" ht="15" hidden="false" customHeight="false" outlineLevel="0" collapsed="false">
      <c r="A256" s="9" t="s">
        <v>552</v>
      </c>
      <c r="B256" s="9" t="s">
        <v>553</v>
      </c>
      <c r="C256" s="9" t="s">
        <v>534</v>
      </c>
      <c r="D256" s="9" t="s">
        <v>11</v>
      </c>
      <c r="E256" s="9" t="s">
        <v>23</v>
      </c>
    </row>
    <row r="257" customFormat="false" ht="15" hidden="false" customHeight="false" outlineLevel="0" collapsed="false">
      <c r="A257" s="9" t="s">
        <v>554</v>
      </c>
      <c r="B257" s="9" t="s">
        <v>555</v>
      </c>
      <c r="C257" s="9" t="s">
        <v>534</v>
      </c>
      <c r="D257" s="9" t="s">
        <v>11</v>
      </c>
      <c r="E257" s="9" t="s">
        <v>23</v>
      </c>
    </row>
    <row r="258" customFormat="false" ht="15" hidden="false" customHeight="false" outlineLevel="0" collapsed="false">
      <c r="A258" s="9" t="s">
        <v>556</v>
      </c>
      <c r="B258" s="9" t="s">
        <v>557</v>
      </c>
      <c r="C258" s="9" t="s">
        <v>534</v>
      </c>
      <c r="D258" s="9" t="s">
        <v>11</v>
      </c>
      <c r="E258" s="9" t="s">
        <v>23</v>
      </c>
    </row>
    <row r="259" customFormat="false" ht="15" hidden="false" customHeight="false" outlineLevel="0" collapsed="false">
      <c r="A259" s="9" t="s">
        <v>558</v>
      </c>
      <c r="B259" s="9" t="s">
        <v>559</v>
      </c>
      <c r="C259" s="9" t="s">
        <v>534</v>
      </c>
      <c r="D259" s="9" t="s">
        <v>11</v>
      </c>
      <c r="E259" s="9" t="s">
        <v>23</v>
      </c>
    </row>
    <row r="260" customFormat="false" ht="15" hidden="false" customHeight="false" outlineLevel="0" collapsed="false">
      <c r="A260" s="9" t="s">
        <v>560</v>
      </c>
      <c r="B260" s="9" t="s">
        <v>561</v>
      </c>
      <c r="C260" s="9" t="s">
        <v>534</v>
      </c>
      <c r="D260" s="9" t="s">
        <v>11</v>
      </c>
      <c r="E260" s="9" t="s">
        <v>23</v>
      </c>
    </row>
    <row r="261" customFormat="false" ht="15" hidden="false" customHeight="false" outlineLevel="0" collapsed="false">
      <c r="A261" s="9" t="s">
        <v>562</v>
      </c>
      <c r="B261" s="9" t="s">
        <v>563</v>
      </c>
      <c r="C261" s="9" t="s">
        <v>534</v>
      </c>
      <c r="D261" s="9" t="s">
        <v>11</v>
      </c>
      <c r="E261" s="9" t="s">
        <v>23</v>
      </c>
    </row>
    <row r="262" customFormat="false" ht="15" hidden="false" customHeight="false" outlineLevel="0" collapsed="false">
      <c r="A262" s="9" t="s">
        <v>564</v>
      </c>
      <c r="B262" s="9" t="s">
        <v>565</v>
      </c>
      <c r="C262" s="9" t="s">
        <v>534</v>
      </c>
      <c r="D262" s="9" t="s">
        <v>11</v>
      </c>
      <c r="E262" s="9" t="s">
        <v>23</v>
      </c>
    </row>
    <row r="263" customFormat="false" ht="15" hidden="false" customHeight="false" outlineLevel="0" collapsed="false">
      <c r="A263" s="9" t="s">
        <v>566</v>
      </c>
      <c r="B263" s="9" t="s">
        <v>567</v>
      </c>
      <c r="C263" s="9" t="s">
        <v>534</v>
      </c>
      <c r="D263" s="9" t="s">
        <v>11</v>
      </c>
      <c r="E263" s="9" t="s">
        <v>23</v>
      </c>
    </row>
    <row r="264" customFormat="false" ht="15" hidden="false" customHeight="false" outlineLevel="0" collapsed="false">
      <c r="A264" s="9" t="s">
        <v>568</v>
      </c>
      <c r="B264" s="9" t="s">
        <v>569</v>
      </c>
      <c r="C264" s="9" t="s">
        <v>570</v>
      </c>
      <c r="D264" s="9" t="s">
        <v>11</v>
      </c>
      <c r="E264" s="9" t="s">
        <v>23</v>
      </c>
    </row>
    <row r="265" customFormat="false" ht="15" hidden="false" customHeight="false" outlineLevel="0" collapsed="false">
      <c r="A265" s="9" t="s">
        <v>571</v>
      </c>
      <c r="B265" s="9" t="s">
        <v>572</v>
      </c>
      <c r="C265" s="9" t="s">
        <v>570</v>
      </c>
      <c r="D265" s="9" t="s">
        <v>11</v>
      </c>
      <c r="E265" s="9" t="s">
        <v>23</v>
      </c>
    </row>
    <row r="266" customFormat="false" ht="15" hidden="false" customHeight="false" outlineLevel="0" collapsed="false">
      <c r="A266" s="9" t="s">
        <v>573</v>
      </c>
      <c r="B266" s="9" t="s">
        <v>574</v>
      </c>
      <c r="C266" s="9" t="s">
        <v>570</v>
      </c>
      <c r="D266" s="9" t="s">
        <v>11</v>
      </c>
      <c r="E266" s="9" t="s">
        <v>23</v>
      </c>
    </row>
    <row r="267" customFormat="false" ht="15" hidden="false" customHeight="false" outlineLevel="0" collapsed="false">
      <c r="A267" s="9" t="s">
        <v>575</v>
      </c>
      <c r="B267" s="9" t="s">
        <v>576</v>
      </c>
      <c r="C267" s="9" t="s">
        <v>570</v>
      </c>
      <c r="D267" s="9" t="s">
        <v>11</v>
      </c>
      <c r="E267" s="9" t="s">
        <v>23</v>
      </c>
    </row>
    <row r="268" customFormat="false" ht="15" hidden="false" customHeight="false" outlineLevel="0" collapsed="false">
      <c r="A268" s="9" t="s">
        <v>577</v>
      </c>
      <c r="B268" s="9" t="s">
        <v>578</v>
      </c>
      <c r="C268" s="9" t="s">
        <v>570</v>
      </c>
      <c r="D268" s="9" t="s">
        <v>11</v>
      </c>
      <c r="E268" s="9" t="s">
        <v>23</v>
      </c>
    </row>
    <row r="269" customFormat="false" ht="15" hidden="false" customHeight="false" outlineLevel="0" collapsed="false">
      <c r="A269" s="9" t="s">
        <v>579</v>
      </c>
      <c r="B269" s="9" t="s">
        <v>580</v>
      </c>
      <c r="C269" s="9" t="s">
        <v>570</v>
      </c>
      <c r="D269" s="9" t="s">
        <v>11</v>
      </c>
      <c r="E269" s="9" t="s">
        <v>23</v>
      </c>
    </row>
    <row r="270" customFormat="false" ht="15" hidden="false" customHeight="false" outlineLevel="0" collapsed="false">
      <c r="A270" s="9" t="s">
        <v>581</v>
      </c>
      <c r="B270" s="9" t="s">
        <v>582</v>
      </c>
      <c r="C270" s="9" t="s">
        <v>570</v>
      </c>
      <c r="D270" s="9" t="s">
        <v>11</v>
      </c>
      <c r="E270" s="9" t="s">
        <v>23</v>
      </c>
    </row>
    <row r="271" customFormat="false" ht="15" hidden="false" customHeight="false" outlineLevel="0" collapsed="false">
      <c r="A271" s="9" t="s">
        <v>583</v>
      </c>
      <c r="B271" s="9" t="s">
        <v>584</v>
      </c>
      <c r="C271" s="9" t="s">
        <v>570</v>
      </c>
      <c r="D271" s="9" t="s">
        <v>11</v>
      </c>
      <c r="E271" s="9" t="s">
        <v>23</v>
      </c>
    </row>
    <row r="272" customFormat="false" ht="15" hidden="false" customHeight="false" outlineLevel="0" collapsed="false">
      <c r="A272" s="9" t="s">
        <v>585</v>
      </c>
      <c r="B272" s="9" t="s">
        <v>586</v>
      </c>
      <c r="C272" s="9" t="s">
        <v>587</v>
      </c>
      <c r="D272" s="9" t="s">
        <v>11</v>
      </c>
      <c r="E272" s="9" t="s">
        <v>23</v>
      </c>
    </row>
    <row r="273" customFormat="false" ht="15" hidden="false" customHeight="false" outlineLevel="0" collapsed="false">
      <c r="A273" s="9" t="s">
        <v>588</v>
      </c>
      <c r="B273" s="9" t="s">
        <v>589</v>
      </c>
      <c r="C273" s="9" t="s">
        <v>587</v>
      </c>
      <c r="D273" s="9" t="s">
        <v>11</v>
      </c>
      <c r="E273" s="9" t="s">
        <v>23</v>
      </c>
    </row>
    <row r="274" customFormat="false" ht="15" hidden="false" customHeight="false" outlineLevel="0" collapsed="false">
      <c r="A274" s="9" t="s">
        <v>590</v>
      </c>
      <c r="B274" s="9" t="s">
        <v>591</v>
      </c>
      <c r="C274" s="9" t="s">
        <v>587</v>
      </c>
      <c r="D274" s="9" t="s">
        <v>11</v>
      </c>
      <c r="E274" s="9" t="s">
        <v>23</v>
      </c>
    </row>
    <row r="275" customFormat="false" ht="15" hidden="false" customHeight="false" outlineLevel="0" collapsed="false">
      <c r="A275" s="9" t="s">
        <v>592</v>
      </c>
      <c r="B275" s="9" t="s">
        <v>593</v>
      </c>
      <c r="C275" s="9" t="s">
        <v>587</v>
      </c>
      <c r="D275" s="9" t="s">
        <v>11</v>
      </c>
      <c r="E275" s="9" t="s">
        <v>23</v>
      </c>
    </row>
    <row r="276" customFormat="false" ht="15" hidden="false" customHeight="false" outlineLevel="0" collapsed="false">
      <c r="A276" s="9" t="s">
        <v>594</v>
      </c>
      <c r="B276" s="9" t="s">
        <v>595</v>
      </c>
      <c r="C276" s="9" t="s">
        <v>587</v>
      </c>
      <c r="D276" s="9" t="s">
        <v>11</v>
      </c>
      <c r="E276" s="9" t="s">
        <v>23</v>
      </c>
    </row>
    <row r="277" customFormat="false" ht="15" hidden="false" customHeight="false" outlineLevel="0" collapsed="false">
      <c r="A277" s="9" t="s">
        <v>596</v>
      </c>
      <c r="B277" s="9" t="s">
        <v>597</v>
      </c>
      <c r="C277" s="9" t="s">
        <v>587</v>
      </c>
      <c r="D277" s="9" t="s">
        <v>11</v>
      </c>
      <c r="E277" s="9" t="s">
        <v>23</v>
      </c>
    </row>
    <row r="278" customFormat="false" ht="15" hidden="false" customHeight="false" outlineLevel="0" collapsed="false">
      <c r="A278" s="9" t="s">
        <v>598</v>
      </c>
      <c r="B278" s="9" t="s">
        <v>599</v>
      </c>
      <c r="C278" s="9" t="s">
        <v>587</v>
      </c>
      <c r="D278" s="9" t="s">
        <v>11</v>
      </c>
      <c r="E278" s="9" t="s">
        <v>23</v>
      </c>
    </row>
    <row r="279" customFormat="false" ht="15" hidden="false" customHeight="false" outlineLevel="0" collapsed="false">
      <c r="A279" s="9" t="s">
        <v>600</v>
      </c>
      <c r="B279" s="9" t="s">
        <v>601</v>
      </c>
      <c r="C279" s="9" t="s">
        <v>587</v>
      </c>
      <c r="D279" s="9" t="s">
        <v>11</v>
      </c>
      <c r="E279" s="9" t="s">
        <v>23</v>
      </c>
    </row>
    <row r="280" customFormat="false" ht="15" hidden="false" customHeight="false" outlineLevel="0" collapsed="false">
      <c r="A280" s="9" t="s">
        <v>602</v>
      </c>
      <c r="B280" s="9" t="s">
        <v>603</v>
      </c>
      <c r="C280" s="9" t="s">
        <v>604</v>
      </c>
      <c r="D280" s="9" t="s">
        <v>11</v>
      </c>
      <c r="E280" s="9" t="s">
        <v>23</v>
      </c>
    </row>
    <row r="281" customFormat="false" ht="15" hidden="false" customHeight="false" outlineLevel="0" collapsed="false">
      <c r="A281" s="9" t="s">
        <v>605</v>
      </c>
      <c r="B281" s="9" t="s">
        <v>606</v>
      </c>
      <c r="C281" s="9" t="s">
        <v>604</v>
      </c>
      <c r="D281" s="9" t="s">
        <v>11</v>
      </c>
      <c r="E281" s="9" t="s">
        <v>23</v>
      </c>
    </row>
    <row r="282" customFormat="false" ht="15" hidden="false" customHeight="false" outlineLevel="0" collapsed="false">
      <c r="A282" s="9" t="s">
        <v>607</v>
      </c>
      <c r="B282" s="9" t="s">
        <v>608</v>
      </c>
      <c r="C282" s="9" t="s">
        <v>604</v>
      </c>
      <c r="D282" s="9" t="s">
        <v>11</v>
      </c>
      <c r="E282" s="9" t="s">
        <v>23</v>
      </c>
    </row>
    <row r="283" customFormat="false" ht="15" hidden="false" customHeight="false" outlineLevel="0" collapsed="false">
      <c r="A283" s="9" t="s">
        <v>609</v>
      </c>
      <c r="B283" s="9" t="s">
        <v>610</v>
      </c>
      <c r="C283" s="9" t="s">
        <v>604</v>
      </c>
      <c r="D283" s="9" t="s">
        <v>11</v>
      </c>
      <c r="E283" s="9" t="s">
        <v>23</v>
      </c>
    </row>
    <row r="284" customFormat="false" ht="15" hidden="false" customHeight="false" outlineLevel="0" collapsed="false">
      <c r="A284" s="9" t="s">
        <v>611</v>
      </c>
      <c r="B284" s="9" t="s">
        <v>612</v>
      </c>
      <c r="C284" s="9" t="s">
        <v>604</v>
      </c>
      <c r="D284" s="9" t="s">
        <v>11</v>
      </c>
      <c r="E284" s="9" t="s">
        <v>23</v>
      </c>
    </row>
    <row r="285" customFormat="false" ht="15" hidden="false" customHeight="false" outlineLevel="0" collapsed="false">
      <c r="A285" s="9" t="s">
        <v>613</v>
      </c>
      <c r="B285" s="9" t="s">
        <v>614</v>
      </c>
      <c r="C285" s="9" t="s">
        <v>604</v>
      </c>
      <c r="D285" s="9" t="s">
        <v>11</v>
      </c>
      <c r="E285" s="9" t="s">
        <v>23</v>
      </c>
    </row>
    <row r="286" customFormat="false" ht="15" hidden="false" customHeight="false" outlineLevel="0" collapsed="false">
      <c r="A286" s="9" t="s">
        <v>615</v>
      </c>
      <c r="B286" s="9" t="s">
        <v>616</v>
      </c>
      <c r="C286" s="9" t="s">
        <v>604</v>
      </c>
      <c r="D286" s="9" t="s">
        <v>11</v>
      </c>
      <c r="E286" s="9" t="s">
        <v>23</v>
      </c>
    </row>
    <row r="287" customFormat="false" ht="15" hidden="false" customHeight="false" outlineLevel="0" collapsed="false">
      <c r="A287" s="9" t="s">
        <v>617</v>
      </c>
      <c r="B287" s="9" t="s">
        <v>618</v>
      </c>
      <c r="C287" s="9" t="s">
        <v>604</v>
      </c>
      <c r="D287" s="9" t="s">
        <v>11</v>
      </c>
      <c r="E287" s="9" t="s">
        <v>23</v>
      </c>
    </row>
    <row r="288" customFormat="false" ht="15" hidden="false" customHeight="false" outlineLevel="0" collapsed="false">
      <c r="A288" s="9" t="s">
        <v>619</v>
      </c>
      <c r="B288" s="9" t="s">
        <v>620</v>
      </c>
      <c r="C288" s="9" t="s">
        <v>604</v>
      </c>
      <c r="D288" s="9" t="s">
        <v>11</v>
      </c>
      <c r="E288" s="9" t="s">
        <v>23</v>
      </c>
    </row>
    <row r="289" customFormat="false" ht="15" hidden="false" customHeight="false" outlineLevel="0" collapsed="false">
      <c r="A289" s="9" t="s">
        <v>621</v>
      </c>
      <c r="B289" s="9" t="s">
        <v>622</v>
      </c>
      <c r="C289" s="9" t="s">
        <v>604</v>
      </c>
      <c r="D289" s="9" t="s">
        <v>11</v>
      </c>
      <c r="E289" s="9" t="s">
        <v>23</v>
      </c>
    </row>
    <row r="290" customFormat="false" ht="15" hidden="false" customHeight="false" outlineLevel="0" collapsed="false">
      <c r="A290" s="9" t="s">
        <v>623</v>
      </c>
      <c r="B290" s="9" t="s">
        <v>624</v>
      </c>
      <c r="C290" s="9" t="s">
        <v>604</v>
      </c>
      <c r="D290" s="9" t="s">
        <v>11</v>
      </c>
      <c r="E290" s="9" t="s">
        <v>23</v>
      </c>
    </row>
    <row r="291" customFormat="false" ht="15" hidden="false" customHeight="false" outlineLevel="0" collapsed="false">
      <c r="A291" s="9" t="s">
        <v>625</v>
      </c>
      <c r="B291" s="9" t="s">
        <v>626</v>
      </c>
      <c r="C291" s="9" t="s">
        <v>604</v>
      </c>
      <c r="D291" s="9" t="s">
        <v>11</v>
      </c>
      <c r="E291" s="9" t="s">
        <v>23</v>
      </c>
    </row>
    <row r="292" customFormat="false" ht="15" hidden="false" customHeight="false" outlineLevel="0" collapsed="false">
      <c r="A292" s="9" t="s">
        <v>627</v>
      </c>
      <c r="B292" s="9" t="s">
        <v>628</v>
      </c>
      <c r="C292" s="9" t="s">
        <v>604</v>
      </c>
      <c r="D292" s="9" t="s">
        <v>11</v>
      </c>
      <c r="E292" s="9" t="s">
        <v>23</v>
      </c>
    </row>
    <row r="293" customFormat="false" ht="15" hidden="false" customHeight="false" outlineLevel="0" collapsed="false">
      <c r="A293" s="9" t="s">
        <v>629</v>
      </c>
      <c r="B293" s="9" t="s">
        <v>630</v>
      </c>
      <c r="C293" s="9" t="s">
        <v>604</v>
      </c>
      <c r="D293" s="9" t="s">
        <v>11</v>
      </c>
      <c r="E293" s="9" t="s">
        <v>23</v>
      </c>
    </row>
    <row r="294" customFormat="false" ht="15" hidden="false" customHeight="false" outlineLevel="0" collapsed="false">
      <c r="A294" s="10" t="s">
        <v>631</v>
      </c>
      <c r="B294" s="10" t="s">
        <v>632</v>
      </c>
      <c r="C294" s="10" t="s">
        <v>633</v>
      </c>
      <c r="D294" s="10" t="s">
        <v>8</v>
      </c>
      <c r="E294" s="10" t="s">
        <v>634</v>
      </c>
    </row>
    <row r="295" customFormat="false" ht="15" hidden="false" customHeight="false" outlineLevel="0" collapsed="false">
      <c r="A295" s="10" t="s">
        <v>635</v>
      </c>
      <c r="B295" s="10" t="s">
        <v>636</v>
      </c>
      <c r="C295" s="10" t="s">
        <v>633</v>
      </c>
      <c r="D295" s="10" t="s">
        <v>8</v>
      </c>
      <c r="E295" s="10" t="s">
        <v>634</v>
      </c>
    </row>
    <row r="296" customFormat="false" ht="15" hidden="false" customHeight="false" outlineLevel="0" collapsed="false">
      <c r="A296" s="10" t="s">
        <v>637</v>
      </c>
      <c r="B296" s="10" t="s">
        <v>638</v>
      </c>
      <c r="C296" s="10" t="s">
        <v>633</v>
      </c>
      <c r="D296" s="10" t="s">
        <v>8</v>
      </c>
      <c r="E296" s="10" t="s">
        <v>634</v>
      </c>
    </row>
    <row r="297" customFormat="false" ht="15" hidden="false" customHeight="false" outlineLevel="0" collapsed="false">
      <c r="A297" s="10" t="s">
        <v>639</v>
      </c>
      <c r="B297" s="10" t="s">
        <v>640</v>
      </c>
      <c r="C297" s="10" t="s">
        <v>633</v>
      </c>
      <c r="D297" s="10" t="s">
        <v>8</v>
      </c>
      <c r="E297" s="10" t="s">
        <v>634</v>
      </c>
    </row>
    <row r="298" customFormat="false" ht="15" hidden="false" customHeight="false" outlineLevel="0" collapsed="false">
      <c r="A298" s="10" t="s">
        <v>641</v>
      </c>
      <c r="B298" s="10" t="s">
        <v>642</v>
      </c>
      <c r="C298" s="10" t="s">
        <v>633</v>
      </c>
      <c r="D298" s="10" t="s">
        <v>8</v>
      </c>
      <c r="E298" s="10" t="s">
        <v>634</v>
      </c>
    </row>
    <row r="299" customFormat="false" ht="15" hidden="false" customHeight="false" outlineLevel="0" collapsed="false">
      <c r="A299" s="10" t="s">
        <v>643</v>
      </c>
      <c r="B299" s="10" t="s">
        <v>644</v>
      </c>
      <c r="C299" s="10" t="s">
        <v>633</v>
      </c>
      <c r="D299" s="10" t="s">
        <v>8</v>
      </c>
      <c r="E299" s="10" t="s">
        <v>634</v>
      </c>
    </row>
    <row r="300" customFormat="false" ht="15" hidden="false" customHeight="false" outlineLevel="0" collapsed="false">
      <c r="A300" s="10" t="s">
        <v>645</v>
      </c>
      <c r="B300" s="10" t="s">
        <v>646</v>
      </c>
      <c r="C300" s="10" t="s">
        <v>633</v>
      </c>
      <c r="D300" s="10" t="s">
        <v>8</v>
      </c>
      <c r="E300" s="10" t="s">
        <v>634</v>
      </c>
    </row>
    <row r="301" customFormat="false" ht="15" hidden="false" customHeight="false" outlineLevel="0" collapsed="false">
      <c r="A301" s="10" t="s">
        <v>647</v>
      </c>
      <c r="B301" s="10" t="s">
        <v>648</v>
      </c>
      <c r="C301" s="10" t="s">
        <v>649</v>
      </c>
      <c r="D301" s="10" t="s">
        <v>8</v>
      </c>
      <c r="E301" s="10" t="s">
        <v>634</v>
      </c>
    </row>
    <row r="302" customFormat="false" ht="15" hidden="false" customHeight="false" outlineLevel="0" collapsed="false">
      <c r="A302" s="10" t="s">
        <v>650</v>
      </c>
      <c r="B302" s="10" t="s">
        <v>651</v>
      </c>
      <c r="C302" s="10" t="s">
        <v>649</v>
      </c>
      <c r="D302" s="10" t="s">
        <v>8</v>
      </c>
      <c r="E302" s="10" t="s">
        <v>634</v>
      </c>
    </row>
    <row r="303" customFormat="false" ht="15" hidden="false" customHeight="false" outlineLevel="0" collapsed="false">
      <c r="A303" s="10" t="s">
        <v>652</v>
      </c>
      <c r="B303" s="10" t="s">
        <v>653</v>
      </c>
      <c r="C303" s="10" t="s">
        <v>649</v>
      </c>
      <c r="D303" s="10" t="s">
        <v>8</v>
      </c>
      <c r="E303" s="10" t="s">
        <v>634</v>
      </c>
    </row>
    <row r="304" customFormat="false" ht="15" hidden="false" customHeight="false" outlineLevel="0" collapsed="false">
      <c r="A304" s="10" t="s">
        <v>654</v>
      </c>
      <c r="B304" s="10" t="s">
        <v>655</v>
      </c>
      <c r="C304" s="10" t="s">
        <v>649</v>
      </c>
      <c r="D304" s="10" t="s">
        <v>8</v>
      </c>
      <c r="E304" s="10" t="s">
        <v>634</v>
      </c>
    </row>
    <row r="305" customFormat="false" ht="15" hidden="false" customHeight="false" outlineLevel="0" collapsed="false">
      <c r="A305" s="10" t="s">
        <v>656</v>
      </c>
      <c r="B305" s="10" t="s">
        <v>657</v>
      </c>
      <c r="C305" s="10" t="s">
        <v>649</v>
      </c>
      <c r="D305" s="10" t="s">
        <v>8</v>
      </c>
      <c r="E305" s="10" t="s">
        <v>634</v>
      </c>
    </row>
    <row r="306" customFormat="false" ht="15" hidden="false" customHeight="false" outlineLevel="0" collapsed="false">
      <c r="A306" s="10" t="s">
        <v>658</v>
      </c>
      <c r="B306" s="10" t="s">
        <v>659</v>
      </c>
      <c r="C306" s="10" t="s">
        <v>649</v>
      </c>
      <c r="D306" s="10" t="s">
        <v>8</v>
      </c>
      <c r="E306" s="10" t="s">
        <v>634</v>
      </c>
    </row>
    <row r="307" customFormat="false" ht="15" hidden="false" customHeight="false" outlineLevel="0" collapsed="false">
      <c r="A307" s="10" t="s">
        <v>660</v>
      </c>
      <c r="B307" s="10" t="s">
        <v>661</v>
      </c>
      <c r="C307" s="10" t="s">
        <v>649</v>
      </c>
      <c r="D307" s="10" t="s">
        <v>8</v>
      </c>
      <c r="E307" s="10" t="s">
        <v>634</v>
      </c>
    </row>
    <row r="308" customFormat="false" ht="15" hidden="false" customHeight="false" outlineLevel="0" collapsed="false">
      <c r="A308" s="10" t="s">
        <v>662</v>
      </c>
      <c r="B308" s="10" t="s">
        <v>663</v>
      </c>
      <c r="C308" s="10" t="s">
        <v>649</v>
      </c>
      <c r="D308" s="10" t="s">
        <v>8</v>
      </c>
      <c r="E308" s="10" t="s">
        <v>634</v>
      </c>
    </row>
    <row r="309" customFormat="false" ht="15" hidden="false" customHeight="false" outlineLevel="0" collapsed="false">
      <c r="A309" s="10" t="s">
        <v>664</v>
      </c>
      <c r="B309" s="10" t="s">
        <v>665</v>
      </c>
      <c r="C309" s="10" t="s">
        <v>649</v>
      </c>
      <c r="D309" s="10" t="s">
        <v>8</v>
      </c>
      <c r="E309" s="10" t="s">
        <v>634</v>
      </c>
    </row>
    <row r="310" customFormat="false" ht="15" hidden="false" customHeight="false" outlineLevel="0" collapsed="false">
      <c r="A310" s="10" t="s">
        <v>666</v>
      </c>
      <c r="B310" s="10" t="s">
        <v>667</v>
      </c>
      <c r="C310" s="10" t="s">
        <v>649</v>
      </c>
      <c r="D310" s="10" t="s">
        <v>8</v>
      </c>
      <c r="E310" s="10" t="s">
        <v>634</v>
      </c>
    </row>
    <row r="311" customFormat="false" ht="15" hidden="false" customHeight="false" outlineLevel="0" collapsed="false">
      <c r="A311" s="10" t="s">
        <v>668</v>
      </c>
      <c r="B311" s="10" t="s">
        <v>669</v>
      </c>
      <c r="C311" s="10" t="s">
        <v>670</v>
      </c>
      <c r="D311" s="10" t="s">
        <v>8</v>
      </c>
      <c r="E311" s="10" t="s">
        <v>634</v>
      </c>
    </row>
    <row r="312" customFormat="false" ht="15" hidden="false" customHeight="false" outlineLevel="0" collapsed="false">
      <c r="A312" s="10" t="s">
        <v>671</v>
      </c>
      <c r="B312" s="10" t="s">
        <v>672</v>
      </c>
      <c r="C312" s="10" t="s">
        <v>670</v>
      </c>
      <c r="D312" s="10" t="s">
        <v>8</v>
      </c>
      <c r="E312" s="10" t="s">
        <v>634</v>
      </c>
    </row>
    <row r="313" customFormat="false" ht="15" hidden="false" customHeight="false" outlineLevel="0" collapsed="false">
      <c r="A313" s="10" t="s">
        <v>673</v>
      </c>
      <c r="B313" s="10" t="s">
        <v>674</v>
      </c>
      <c r="C313" s="10" t="s">
        <v>675</v>
      </c>
      <c r="D313" s="10" t="s">
        <v>8</v>
      </c>
      <c r="E313" s="10" t="s">
        <v>634</v>
      </c>
    </row>
    <row r="314" customFormat="false" ht="15" hidden="false" customHeight="false" outlineLevel="0" collapsed="false">
      <c r="A314" s="10" t="s">
        <v>676</v>
      </c>
      <c r="B314" s="10" t="s">
        <v>677</v>
      </c>
      <c r="C314" s="10" t="s">
        <v>675</v>
      </c>
      <c r="D314" s="10" t="s">
        <v>8</v>
      </c>
      <c r="E314" s="10" t="s">
        <v>634</v>
      </c>
    </row>
    <row r="315" customFormat="false" ht="15" hidden="false" customHeight="false" outlineLevel="0" collapsed="false">
      <c r="A315" s="10" t="s">
        <v>678</v>
      </c>
      <c r="B315" s="10" t="s">
        <v>679</v>
      </c>
      <c r="C315" s="10" t="s">
        <v>675</v>
      </c>
      <c r="D315" s="10" t="s">
        <v>8</v>
      </c>
      <c r="E315" s="10" t="s">
        <v>634</v>
      </c>
    </row>
    <row r="316" customFormat="false" ht="15" hidden="false" customHeight="false" outlineLevel="0" collapsed="false">
      <c r="A316" s="10" t="s">
        <v>680</v>
      </c>
      <c r="B316" s="10" t="s">
        <v>681</v>
      </c>
      <c r="C316" s="10" t="s">
        <v>675</v>
      </c>
      <c r="D316" s="10" t="s">
        <v>8</v>
      </c>
      <c r="E316" s="10" t="s">
        <v>634</v>
      </c>
    </row>
    <row r="317" customFormat="false" ht="15" hidden="false" customHeight="false" outlineLevel="0" collapsed="false">
      <c r="A317" s="10" t="s">
        <v>682</v>
      </c>
      <c r="B317" s="10" t="s">
        <v>683</v>
      </c>
      <c r="C317" s="10" t="s">
        <v>684</v>
      </c>
      <c r="D317" s="10" t="s">
        <v>8</v>
      </c>
      <c r="E317" s="10" t="s">
        <v>634</v>
      </c>
    </row>
    <row r="318" customFormat="false" ht="15" hidden="false" customHeight="false" outlineLevel="0" collapsed="false">
      <c r="A318" s="10" t="s">
        <v>685</v>
      </c>
      <c r="B318" s="10" t="s">
        <v>686</v>
      </c>
      <c r="C318" s="10" t="s">
        <v>684</v>
      </c>
      <c r="D318" s="10" t="s">
        <v>8</v>
      </c>
      <c r="E318" s="10" t="s">
        <v>634</v>
      </c>
    </row>
    <row r="319" customFormat="false" ht="15" hidden="false" customHeight="false" outlineLevel="0" collapsed="false">
      <c r="A319" s="10" t="s">
        <v>687</v>
      </c>
      <c r="B319" s="10" t="s">
        <v>688</v>
      </c>
      <c r="C319" s="10" t="s">
        <v>684</v>
      </c>
      <c r="D319" s="10" t="s">
        <v>8</v>
      </c>
      <c r="E319" s="10" t="s">
        <v>634</v>
      </c>
    </row>
    <row r="320" customFormat="false" ht="15" hidden="false" customHeight="false" outlineLevel="0" collapsed="false">
      <c r="A320" s="10" t="s">
        <v>689</v>
      </c>
      <c r="B320" s="10" t="s">
        <v>690</v>
      </c>
      <c r="C320" s="10" t="s">
        <v>684</v>
      </c>
      <c r="D320" s="10" t="s">
        <v>8</v>
      </c>
      <c r="E320" s="10" t="s">
        <v>634</v>
      </c>
    </row>
    <row r="321" customFormat="false" ht="15" hidden="false" customHeight="false" outlineLevel="0" collapsed="false">
      <c r="A321" s="10" t="s">
        <v>691</v>
      </c>
      <c r="B321" s="10" t="s">
        <v>692</v>
      </c>
      <c r="C321" s="10" t="s">
        <v>684</v>
      </c>
      <c r="D321" s="10" t="s">
        <v>8</v>
      </c>
      <c r="E321" s="10" t="s">
        <v>634</v>
      </c>
    </row>
    <row r="322" customFormat="false" ht="15" hidden="false" customHeight="false" outlineLevel="0" collapsed="false">
      <c r="A322" s="10" t="s">
        <v>693</v>
      </c>
      <c r="B322" s="10" t="s">
        <v>694</v>
      </c>
      <c r="C322" s="10" t="s">
        <v>684</v>
      </c>
      <c r="D322" s="10" t="s">
        <v>8</v>
      </c>
      <c r="E322" s="10" t="s">
        <v>634</v>
      </c>
    </row>
    <row r="323" customFormat="false" ht="15" hidden="false" customHeight="false" outlineLevel="0" collapsed="false">
      <c r="A323" s="10" t="s">
        <v>695</v>
      </c>
      <c r="B323" s="10" t="s">
        <v>696</v>
      </c>
      <c r="C323" s="10" t="s">
        <v>684</v>
      </c>
      <c r="D323" s="10" t="s">
        <v>8</v>
      </c>
      <c r="E323" s="10" t="s">
        <v>634</v>
      </c>
    </row>
    <row r="324" customFormat="false" ht="15" hidden="false" customHeight="false" outlineLevel="0" collapsed="false">
      <c r="A324" s="10" t="s">
        <v>697</v>
      </c>
      <c r="B324" s="10" t="s">
        <v>698</v>
      </c>
      <c r="C324" s="10" t="s">
        <v>699</v>
      </c>
      <c r="D324" s="10" t="s">
        <v>8</v>
      </c>
      <c r="E324" s="10" t="s">
        <v>634</v>
      </c>
    </row>
    <row r="325" customFormat="false" ht="15" hidden="false" customHeight="false" outlineLevel="0" collapsed="false">
      <c r="A325" s="10" t="s">
        <v>700</v>
      </c>
      <c r="B325" s="10" t="s">
        <v>701</v>
      </c>
      <c r="C325" s="10" t="s">
        <v>699</v>
      </c>
      <c r="D325" s="10" t="s">
        <v>8</v>
      </c>
      <c r="E325" s="10" t="s">
        <v>634</v>
      </c>
    </row>
    <row r="326" customFormat="false" ht="15" hidden="false" customHeight="false" outlineLevel="0" collapsed="false">
      <c r="A326" s="10" t="s">
        <v>702</v>
      </c>
      <c r="B326" s="10" t="s">
        <v>703</v>
      </c>
      <c r="C326" s="10" t="s">
        <v>699</v>
      </c>
      <c r="D326" s="10" t="s">
        <v>8</v>
      </c>
      <c r="E326" s="10" t="s">
        <v>634</v>
      </c>
    </row>
    <row r="327" customFormat="false" ht="15" hidden="false" customHeight="false" outlineLevel="0" collapsed="false">
      <c r="A327" s="10" t="s">
        <v>704</v>
      </c>
      <c r="B327" s="10" t="s">
        <v>705</v>
      </c>
      <c r="C327" s="10" t="s">
        <v>699</v>
      </c>
      <c r="D327" s="10" t="s">
        <v>8</v>
      </c>
      <c r="E327" s="10" t="s">
        <v>634</v>
      </c>
    </row>
    <row r="328" customFormat="false" ht="15" hidden="false" customHeight="false" outlineLevel="0" collapsed="false">
      <c r="A328" s="10" t="s">
        <v>706</v>
      </c>
      <c r="B328" s="10" t="s">
        <v>707</v>
      </c>
      <c r="C328" s="10" t="s">
        <v>699</v>
      </c>
      <c r="D328" s="10" t="s">
        <v>8</v>
      </c>
      <c r="E328" s="10" t="s">
        <v>634</v>
      </c>
    </row>
    <row r="329" customFormat="false" ht="15" hidden="false" customHeight="false" outlineLevel="0" collapsed="false">
      <c r="A329" s="10" t="s">
        <v>708</v>
      </c>
      <c r="B329" s="10" t="s">
        <v>709</v>
      </c>
      <c r="C329" s="10" t="s">
        <v>699</v>
      </c>
      <c r="D329" s="10" t="s">
        <v>8</v>
      </c>
      <c r="E329" s="10" t="s">
        <v>634</v>
      </c>
    </row>
    <row r="330" customFormat="false" ht="15" hidden="false" customHeight="false" outlineLevel="0" collapsed="false">
      <c r="A330" s="10" t="s">
        <v>710</v>
      </c>
      <c r="B330" s="10" t="s">
        <v>711</v>
      </c>
      <c r="C330" s="10" t="s">
        <v>712</v>
      </c>
      <c r="D330" s="10" t="s">
        <v>8</v>
      </c>
      <c r="E330" s="10" t="s">
        <v>634</v>
      </c>
    </row>
    <row r="331" customFormat="false" ht="15" hidden="false" customHeight="false" outlineLevel="0" collapsed="false">
      <c r="A331" s="10" t="s">
        <v>713</v>
      </c>
      <c r="B331" s="10" t="s">
        <v>714</v>
      </c>
      <c r="C331" s="10" t="s">
        <v>712</v>
      </c>
      <c r="D331" s="10" t="s">
        <v>8</v>
      </c>
      <c r="E331" s="10" t="s">
        <v>634</v>
      </c>
    </row>
    <row r="332" customFormat="false" ht="15" hidden="false" customHeight="false" outlineLevel="0" collapsed="false">
      <c r="A332" s="10" t="s">
        <v>715</v>
      </c>
      <c r="B332" s="10" t="s">
        <v>716</v>
      </c>
      <c r="C332" s="10" t="s">
        <v>712</v>
      </c>
      <c r="D332" s="10" t="s">
        <v>8</v>
      </c>
      <c r="E332" s="10" t="s">
        <v>634</v>
      </c>
    </row>
    <row r="333" customFormat="false" ht="15" hidden="false" customHeight="false" outlineLevel="0" collapsed="false">
      <c r="A333" s="10" t="s">
        <v>717</v>
      </c>
      <c r="B333" s="10" t="s">
        <v>718</v>
      </c>
      <c r="C333" s="10" t="s">
        <v>712</v>
      </c>
      <c r="D333" s="10" t="s">
        <v>8</v>
      </c>
      <c r="E333" s="10" t="s">
        <v>634</v>
      </c>
    </row>
    <row r="334" customFormat="false" ht="15" hidden="false" customHeight="false" outlineLevel="0" collapsed="false">
      <c r="A334" s="10" t="s">
        <v>719</v>
      </c>
      <c r="B334" s="10" t="s">
        <v>720</v>
      </c>
      <c r="C334" s="10" t="s">
        <v>712</v>
      </c>
      <c r="D334" s="10" t="s">
        <v>8</v>
      </c>
      <c r="E334" s="10" t="s">
        <v>634</v>
      </c>
    </row>
    <row r="335" customFormat="false" ht="15" hidden="false" customHeight="false" outlineLevel="0" collapsed="false">
      <c r="A335" s="10" t="s">
        <v>721</v>
      </c>
      <c r="B335" s="10" t="s">
        <v>722</v>
      </c>
      <c r="C335" s="10" t="s">
        <v>723</v>
      </c>
      <c r="D335" s="10" t="s">
        <v>8</v>
      </c>
      <c r="E335" s="10" t="s">
        <v>634</v>
      </c>
    </row>
    <row r="336" customFormat="false" ht="15" hidden="false" customHeight="false" outlineLevel="0" collapsed="false">
      <c r="A336" s="10" t="s">
        <v>724</v>
      </c>
      <c r="B336" s="10" t="s">
        <v>725</v>
      </c>
      <c r="C336" s="10" t="s">
        <v>723</v>
      </c>
      <c r="D336" s="10" t="s">
        <v>8</v>
      </c>
      <c r="E336" s="10" t="s">
        <v>634</v>
      </c>
    </row>
    <row r="337" customFormat="false" ht="15" hidden="false" customHeight="false" outlineLevel="0" collapsed="false">
      <c r="A337" s="10" t="s">
        <v>726</v>
      </c>
      <c r="B337" s="10" t="s">
        <v>727</v>
      </c>
      <c r="C337" s="10" t="s">
        <v>723</v>
      </c>
      <c r="D337" s="10" t="s">
        <v>8</v>
      </c>
      <c r="E337" s="10" t="s">
        <v>634</v>
      </c>
    </row>
    <row r="338" customFormat="false" ht="15" hidden="false" customHeight="false" outlineLevel="0" collapsed="false">
      <c r="A338" s="10" t="s">
        <v>728</v>
      </c>
      <c r="B338" s="10" t="s">
        <v>729</v>
      </c>
      <c r="C338" s="10" t="s">
        <v>723</v>
      </c>
      <c r="D338" s="10" t="s">
        <v>8</v>
      </c>
      <c r="E338" s="10" t="s">
        <v>634</v>
      </c>
    </row>
    <row r="339" customFormat="false" ht="15" hidden="false" customHeight="false" outlineLevel="0" collapsed="false">
      <c r="A339" s="10" t="s">
        <v>730</v>
      </c>
      <c r="B339" s="10" t="s">
        <v>731</v>
      </c>
      <c r="C339" s="10" t="s">
        <v>732</v>
      </c>
      <c r="D339" s="10" t="s">
        <v>8</v>
      </c>
      <c r="E339" s="10" t="s">
        <v>634</v>
      </c>
    </row>
    <row r="340" customFormat="false" ht="15" hidden="false" customHeight="false" outlineLevel="0" collapsed="false">
      <c r="A340" s="10" t="s">
        <v>733</v>
      </c>
      <c r="B340" s="10" t="s">
        <v>734</v>
      </c>
      <c r="C340" s="10" t="s">
        <v>732</v>
      </c>
      <c r="D340" s="10" t="s">
        <v>8</v>
      </c>
      <c r="E340" s="10" t="s">
        <v>634</v>
      </c>
    </row>
    <row r="341" customFormat="false" ht="15" hidden="false" customHeight="false" outlineLevel="0" collapsed="false">
      <c r="A341" s="10" t="s">
        <v>735</v>
      </c>
      <c r="B341" s="10" t="s">
        <v>736</v>
      </c>
      <c r="C341" s="10" t="s">
        <v>732</v>
      </c>
      <c r="D341" s="10" t="s">
        <v>8</v>
      </c>
      <c r="E341" s="10" t="s">
        <v>634</v>
      </c>
    </row>
    <row r="342" customFormat="false" ht="15" hidden="false" customHeight="false" outlineLevel="0" collapsed="false">
      <c r="A342" s="10" t="s">
        <v>737</v>
      </c>
      <c r="B342" s="10" t="s">
        <v>738</v>
      </c>
      <c r="C342" s="10" t="s">
        <v>732</v>
      </c>
      <c r="D342" s="10" t="s">
        <v>8</v>
      </c>
      <c r="E342" s="10" t="s">
        <v>634</v>
      </c>
    </row>
    <row r="343" customFormat="false" ht="15" hidden="false" customHeight="false" outlineLevel="0" collapsed="false">
      <c r="A343" s="10" t="s">
        <v>739</v>
      </c>
      <c r="B343" s="10" t="s">
        <v>740</v>
      </c>
      <c r="C343" s="10" t="s">
        <v>741</v>
      </c>
      <c r="D343" s="10" t="s">
        <v>8</v>
      </c>
      <c r="E343" s="10" t="s">
        <v>634</v>
      </c>
    </row>
    <row r="344" customFormat="false" ht="15" hidden="false" customHeight="false" outlineLevel="0" collapsed="false">
      <c r="A344" s="10" t="s">
        <v>742</v>
      </c>
      <c r="B344" s="10" t="s">
        <v>743</v>
      </c>
      <c r="C344" s="10" t="s">
        <v>741</v>
      </c>
      <c r="D344" s="10" t="s">
        <v>8</v>
      </c>
      <c r="E344" s="10" t="s">
        <v>634</v>
      </c>
    </row>
    <row r="345" customFormat="false" ht="15" hidden="false" customHeight="false" outlineLevel="0" collapsed="false">
      <c r="A345" s="10" t="s">
        <v>744</v>
      </c>
      <c r="B345" s="10" t="s">
        <v>745</v>
      </c>
      <c r="C345" s="10" t="s">
        <v>741</v>
      </c>
      <c r="D345" s="10" t="s">
        <v>8</v>
      </c>
      <c r="E345" s="10" t="s">
        <v>634</v>
      </c>
    </row>
    <row r="346" customFormat="false" ht="15" hidden="false" customHeight="false" outlineLevel="0" collapsed="false">
      <c r="A346" s="10" t="s">
        <v>746</v>
      </c>
      <c r="B346" s="10" t="s">
        <v>747</v>
      </c>
      <c r="C346" s="10" t="s">
        <v>748</v>
      </c>
      <c r="D346" s="10" t="s">
        <v>8</v>
      </c>
      <c r="E346" s="10" t="s">
        <v>634</v>
      </c>
    </row>
    <row r="347" customFormat="false" ht="15" hidden="false" customHeight="false" outlineLevel="0" collapsed="false">
      <c r="A347" s="10" t="s">
        <v>749</v>
      </c>
      <c r="B347" s="10" t="s">
        <v>750</v>
      </c>
      <c r="C347" s="10" t="s">
        <v>748</v>
      </c>
      <c r="D347" s="10" t="s">
        <v>8</v>
      </c>
      <c r="E347" s="10" t="s">
        <v>634</v>
      </c>
    </row>
    <row r="348" customFormat="false" ht="15" hidden="false" customHeight="false" outlineLevel="0" collapsed="false">
      <c r="A348" s="10" t="s">
        <v>751</v>
      </c>
      <c r="B348" s="10" t="s">
        <v>752</v>
      </c>
      <c r="C348" s="10" t="s">
        <v>748</v>
      </c>
      <c r="D348" s="10" t="s">
        <v>8</v>
      </c>
      <c r="E348" s="10" t="s">
        <v>634</v>
      </c>
    </row>
    <row r="349" customFormat="false" ht="15" hidden="false" customHeight="false" outlineLevel="0" collapsed="false">
      <c r="A349" s="10" t="s">
        <v>753</v>
      </c>
      <c r="B349" s="10" t="s">
        <v>754</v>
      </c>
      <c r="C349" s="10" t="s">
        <v>755</v>
      </c>
      <c r="D349" s="10" t="s">
        <v>8</v>
      </c>
      <c r="E349" s="10" t="s">
        <v>634</v>
      </c>
    </row>
    <row r="350" customFormat="false" ht="15" hidden="false" customHeight="false" outlineLevel="0" collapsed="false">
      <c r="A350" s="10" t="s">
        <v>756</v>
      </c>
      <c r="B350" s="10" t="s">
        <v>757</v>
      </c>
      <c r="C350" s="10" t="s">
        <v>755</v>
      </c>
      <c r="D350" s="10" t="s">
        <v>8</v>
      </c>
      <c r="E350" s="10" t="s">
        <v>634</v>
      </c>
    </row>
    <row r="351" customFormat="false" ht="15" hidden="false" customHeight="false" outlineLevel="0" collapsed="false">
      <c r="A351" s="10" t="s">
        <v>758</v>
      </c>
      <c r="B351" s="10" t="s">
        <v>759</v>
      </c>
      <c r="C351" s="10" t="s">
        <v>755</v>
      </c>
      <c r="D351" s="10" t="s">
        <v>8</v>
      </c>
      <c r="E351" s="10" t="s">
        <v>634</v>
      </c>
    </row>
    <row r="352" customFormat="false" ht="15" hidden="false" customHeight="false" outlineLevel="0" collapsed="false">
      <c r="A352" s="10" t="s">
        <v>760</v>
      </c>
      <c r="B352" s="10" t="s">
        <v>761</v>
      </c>
      <c r="C352" s="10" t="s">
        <v>755</v>
      </c>
      <c r="D352" s="10" t="s">
        <v>8</v>
      </c>
      <c r="E352" s="10" t="s">
        <v>634</v>
      </c>
    </row>
    <row r="353" customFormat="false" ht="15" hidden="false" customHeight="false" outlineLevel="0" collapsed="false">
      <c r="A353" s="10" t="s">
        <v>762</v>
      </c>
      <c r="B353" s="10" t="s">
        <v>763</v>
      </c>
      <c r="C353" s="10" t="s">
        <v>755</v>
      </c>
      <c r="D353" s="10" t="s">
        <v>8</v>
      </c>
      <c r="E353" s="10" t="s">
        <v>634</v>
      </c>
    </row>
    <row r="354" customFormat="false" ht="15" hidden="false" customHeight="false" outlineLevel="0" collapsed="false">
      <c r="A354" s="10" t="s">
        <v>764</v>
      </c>
      <c r="B354" s="10" t="s">
        <v>765</v>
      </c>
      <c r="C354" s="10" t="s">
        <v>755</v>
      </c>
      <c r="D354" s="10" t="s">
        <v>8</v>
      </c>
      <c r="E354" s="10" t="s">
        <v>634</v>
      </c>
    </row>
    <row r="355" customFormat="false" ht="15" hidden="false" customHeight="false" outlineLevel="0" collapsed="false">
      <c r="A355" s="10" t="s">
        <v>766</v>
      </c>
      <c r="B355" s="10" t="s">
        <v>767</v>
      </c>
      <c r="C355" s="10" t="s">
        <v>755</v>
      </c>
      <c r="D355" s="10" t="s">
        <v>8</v>
      </c>
      <c r="E355" s="10" t="s">
        <v>634</v>
      </c>
    </row>
    <row r="356" customFormat="false" ht="15" hidden="false" customHeight="false" outlineLevel="0" collapsed="false">
      <c r="A356" s="10" t="s">
        <v>768</v>
      </c>
      <c r="B356" s="10" t="s">
        <v>769</v>
      </c>
      <c r="C356" s="10" t="s">
        <v>770</v>
      </c>
      <c r="D356" s="10" t="s">
        <v>8</v>
      </c>
      <c r="E356" s="10" t="s">
        <v>634</v>
      </c>
    </row>
    <row r="357" customFormat="false" ht="15" hidden="false" customHeight="false" outlineLevel="0" collapsed="false">
      <c r="A357" s="10" t="s">
        <v>771</v>
      </c>
      <c r="B357" s="10" t="s">
        <v>772</v>
      </c>
      <c r="C357" s="10" t="s">
        <v>770</v>
      </c>
      <c r="D357" s="10" t="s">
        <v>8</v>
      </c>
      <c r="E357" s="10" t="s">
        <v>634</v>
      </c>
    </row>
    <row r="358" customFormat="false" ht="15" hidden="false" customHeight="false" outlineLevel="0" collapsed="false">
      <c r="A358" s="10" t="s">
        <v>773</v>
      </c>
      <c r="B358" s="10" t="s">
        <v>774</v>
      </c>
      <c r="C358" s="10" t="s">
        <v>770</v>
      </c>
      <c r="D358" s="10" t="s">
        <v>8</v>
      </c>
      <c r="E358" s="10" t="s">
        <v>634</v>
      </c>
    </row>
    <row r="359" customFormat="false" ht="15" hidden="false" customHeight="false" outlineLevel="0" collapsed="false">
      <c r="A359" s="10" t="s">
        <v>775</v>
      </c>
      <c r="B359" s="10" t="s">
        <v>776</v>
      </c>
      <c r="C359" s="10" t="s">
        <v>770</v>
      </c>
      <c r="D359" s="10" t="s">
        <v>8</v>
      </c>
      <c r="E359" s="10" t="s">
        <v>634</v>
      </c>
    </row>
    <row r="360" customFormat="false" ht="15" hidden="false" customHeight="false" outlineLevel="0" collapsed="false">
      <c r="A360" s="10" t="s">
        <v>777</v>
      </c>
      <c r="B360" s="10" t="s">
        <v>778</v>
      </c>
      <c r="C360" s="10" t="s">
        <v>770</v>
      </c>
      <c r="D360" s="10" t="s">
        <v>8</v>
      </c>
      <c r="E360" s="10" t="s">
        <v>634</v>
      </c>
    </row>
    <row r="361" customFormat="false" ht="15" hidden="false" customHeight="false" outlineLevel="0" collapsed="false">
      <c r="A361" s="10" t="s">
        <v>779</v>
      </c>
      <c r="B361" s="10" t="s">
        <v>780</v>
      </c>
      <c r="C361" s="10" t="s">
        <v>781</v>
      </c>
      <c r="D361" s="10" t="s">
        <v>8</v>
      </c>
      <c r="E361" s="10" t="s">
        <v>634</v>
      </c>
    </row>
    <row r="362" customFormat="false" ht="15" hidden="false" customHeight="false" outlineLevel="0" collapsed="false">
      <c r="A362" s="10" t="s">
        <v>782</v>
      </c>
      <c r="B362" s="10" t="s">
        <v>783</v>
      </c>
      <c r="C362" s="10" t="s">
        <v>781</v>
      </c>
      <c r="D362" s="10" t="s">
        <v>8</v>
      </c>
      <c r="E362" s="10" t="s">
        <v>634</v>
      </c>
    </row>
    <row r="363" customFormat="false" ht="15" hidden="false" customHeight="false" outlineLevel="0" collapsed="false">
      <c r="A363" s="10" t="s">
        <v>784</v>
      </c>
      <c r="B363" s="10" t="s">
        <v>785</v>
      </c>
      <c r="C363" s="10" t="s">
        <v>781</v>
      </c>
      <c r="D363" s="10" t="s">
        <v>8</v>
      </c>
      <c r="E363" s="10" t="s">
        <v>634</v>
      </c>
    </row>
    <row r="364" customFormat="false" ht="15" hidden="false" customHeight="false" outlineLevel="0" collapsed="false">
      <c r="A364" s="10" t="s">
        <v>786</v>
      </c>
      <c r="B364" s="10" t="s">
        <v>787</v>
      </c>
      <c r="C364" s="10" t="s">
        <v>781</v>
      </c>
      <c r="D364" s="10" t="s">
        <v>8</v>
      </c>
      <c r="E364" s="10" t="s">
        <v>634</v>
      </c>
    </row>
    <row r="365" customFormat="false" ht="15" hidden="false" customHeight="false" outlineLevel="0" collapsed="false">
      <c r="A365" s="10" t="s">
        <v>788</v>
      </c>
      <c r="B365" s="10" t="s">
        <v>789</v>
      </c>
      <c r="C365" s="10" t="s">
        <v>781</v>
      </c>
      <c r="D365" s="10" t="s">
        <v>8</v>
      </c>
      <c r="E365" s="10" t="s">
        <v>634</v>
      </c>
    </row>
    <row r="366" customFormat="false" ht="15" hidden="false" customHeight="false" outlineLevel="0" collapsed="false">
      <c r="A366" s="10" t="s">
        <v>790</v>
      </c>
      <c r="B366" s="10" t="s">
        <v>791</v>
      </c>
      <c r="C366" s="10" t="s">
        <v>781</v>
      </c>
      <c r="D366" s="10" t="s">
        <v>8</v>
      </c>
      <c r="E366" s="10" t="s">
        <v>634</v>
      </c>
    </row>
    <row r="367" customFormat="false" ht="15" hidden="false" customHeight="false" outlineLevel="0" collapsed="false">
      <c r="A367" s="10" t="s">
        <v>792</v>
      </c>
      <c r="B367" s="10" t="s">
        <v>793</v>
      </c>
      <c r="C367" s="10" t="s">
        <v>781</v>
      </c>
      <c r="D367" s="10" t="s">
        <v>8</v>
      </c>
      <c r="E367" s="10" t="s">
        <v>634</v>
      </c>
    </row>
    <row r="368" customFormat="false" ht="15" hidden="false" customHeight="false" outlineLevel="0" collapsed="false">
      <c r="A368" s="10" t="s">
        <v>794</v>
      </c>
      <c r="B368" s="10" t="s">
        <v>795</v>
      </c>
      <c r="C368" s="10" t="s">
        <v>796</v>
      </c>
      <c r="D368" s="10" t="s">
        <v>8</v>
      </c>
      <c r="E368" s="10" t="s">
        <v>634</v>
      </c>
    </row>
    <row r="369" customFormat="false" ht="15" hidden="false" customHeight="false" outlineLevel="0" collapsed="false">
      <c r="A369" s="10" t="s">
        <v>797</v>
      </c>
      <c r="B369" s="10" t="s">
        <v>798</v>
      </c>
      <c r="C369" s="10" t="s">
        <v>796</v>
      </c>
      <c r="D369" s="10" t="s">
        <v>8</v>
      </c>
      <c r="E369" s="10" t="s">
        <v>634</v>
      </c>
    </row>
    <row r="370" customFormat="false" ht="15" hidden="false" customHeight="false" outlineLevel="0" collapsed="false">
      <c r="A370" s="10" t="s">
        <v>799</v>
      </c>
      <c r="B370" s="10" t="s">
        <v>800</v>
      </c>
      <c r="C370" s="10" t="s">
        <v>796</v>
      </c>
      <c r="D370" s="10" t="s">
        <v>8</v>
      </c>
      <c r="E370" s="10" t="s">
        <v>634</v>
      </c>
    </row>
    <row r="371" customFormat="false" ht="15" hidden="false" customHeight="false" outlineLevel="0" collapsed="false">
      <c r="A371" s="10" t="s">
        <v>801</v>
      </c>
      <c r="B371" s="10" t="s">
        <v>802</v>
      </c>
      <c r="C371" s="10" t="s">
        <v>796</v>
      </c>
      <c r="D371" s="10" t="s">
        <v>8</v>
      </c>
      <c r="E371" s="10" t="s">
        <v>634</v>
      </c>
    </row>
    <row r="372" customFormat="false" ht="15" hidden="false" customHeight="false" outlineLevel="0" collapsed="false">
      <c r="A372" s="10" t="s">
        <v>803</v>
      </c>
      <c r="B372" s="10" t="s">
        <v>804</v>
      </c>
      <c r="C372" s="10" t="s">
        <v>796</v>
      </c>
      <c r="D372" s="10" t="s">
        <v>8</v>
      </c>
      <c r="E372" s="10" t="s">
        <v>634</v>
      </c>
    </row>
    <row r="373" customFormat="false" ht="15" hidden="false" customHeight="false" outlineLevel="0" collapsed="false">
      <c r="A373" s="10" t="s">
        <v>805</v>
      </c>
      <c r="B373" s="10" t="s">
        <v>806</v>
      </c>
      <c r="C373" s="10" t="s">
        <v>796</v>
      </c>
      <c r="D373" s="10" t="s">
        <v>8</v>
      </c>
      <c r="E373" s="10" t="s">
        <v>634</v>
      </c>
    </row>
    <row r="374" customFormat="false" ht="15" hidden="false" customHeight="false" outlineLevel="0" collapsed="false">
      <c r="A374" s="10" t="s">
        <v>807</v>
      </c>
      <c r="B374" s="10" t="s">
        <v>808</v>
      </c>
      <c r="C374" s="10" t="s">
        <v>796</v>
      </c>
      <c r="D374" s="10" t="s">
        <v>8</v>
      </c>
      <c r="E374" s="10" t="s">
        <v>634</v>
      </c>
    </row>
    <row r="375" customFormat="false" ht="15" hidden="false" customHeight="false" outlineLevel="0" collapsed="false">
      <c r="A375" s="10" t="s">
        <v>809</v>
      </c>
      <c r="B375" s="10" t="s">
        <v>810</v>
      </c>
      <c r="C375" s="10" t="s">
        <v>811</v>
      </c>
      <c r="D375" s="10" t="s">
        <v>8</v>
      </c>
      <c r="E375" s="10" t="s">
        <v>634</v>
      </c>
    </row>
    <row r="376" customFormat="false" ht="15" hidden="false" customHeight="false" outlineLevel="0" collapsed="false">
      <c r="A376" s="10" t="s">
        <v>812</v>
      </c>
      <c r="B376" s="10" t="s">
        <v>813</v>
      </c>
      <c r="C376" s="10" t="s">
        <v>811</v>
      </c>
      <c r="D376" s="10" t="s">
        <v>8</v>
      </c>
      <c r="E376" s="10" t="s">
        <v>634</v>
      </c>
    </row>
    <row r="377" customFormat="false" ht="15" hidden="false" customHeight="false" outlineLevel="0" collapsed="false">
      <c r="A377" s="10" t="s">
        <v>814</v>
      </c>
      <c r="B377" s="10" t="s">
        <v>815</v>
      </c>
      <c r="C377" s="10" t="s">
        <v>811</v>
      </c>
      <c r="D377" s="10" t="s">
        <v>8</v>
      </c>
      <c r="E377" s="10" t="s">
        <v>634</v>
      </c>
    </row>
    <row r="378" customFormat="false" ht="15" hidden="false" customHeight="false" outlineLevel="0" collapsed="false">
      <c r="A378" s="10" t="s">
        <v>816</v>
      </c>
      <c r="B378" s="10" t="s">
        <v>817</v>
      </c>
      <c r="C378" s="10" t="s">
        <v>811</v>
      </c>
      <c r="D378" s="10" t="s">
        <v>8</v>
      </c>
      <c r="E378" s="10" t="s">
        <v>634</v>
      </c>
    </row>
    <row r="379" customFormat="false" ht="15" hidden="false" customHeight="false" outlineLevel="0" collapsed="false">
      <c r="A379" s="10" t="s">
        <v>818</v>
      </c>
      <c r="B379" s="10" t="s">
        <v>819</v>
      </c>
      <c r="C379" s="10" t="s">
        <v>811</v>
      </c>
      <c r="D379" s="10" t="s">
        <v>8</v>
      </c>
      <c r="E379" s="10" t="s">
        <v>634</v>
      </c>
    </row>
    <row r="380" customFormat="false" ht="15" hidden="false" customHeight="false" outlineLevel="0" collapsed="false">
      <c r="A380" s="10" t="s">
        <v>820</v>
      </c>
      <c r="B380" s="10" t="s">
        <v>821</v>
      </c>
      <c r="C380" s="10" t="s">
        <v>811</v>
      </c>
      <c r="D380" s="10" t="s">
        <v>8</v>
      </c>
      <c r="E380" s="10" t="s">
        <v>634</v>
      </c>
    </row>
    <row r="381" customFormat="false" ht="15" hidden="false" customHeight="false" outlineLevel="0" collapsed="false">
      <c r="A381" s="10" t="s">
        <v>822</v>
      </c>
      <c r="B381" s="10" t="s">
        <v>823</v>
      </c>
      <c r="C381" s="10" t="s">
        <v>824</v>
      </c>
      <c r="D381" s="10" t="s">
        <v>8</v>
      </c>
      <c r="E381" s="10" t="s">
        <v>634</v>
      </c>
    </row>
    <row r="382" customFormat="false" ht="15" hidden="false" customHeight="false" outlineLevel="0" collapsed="false">
      <c r="A382" s="10" t="s">
        <v>825</v>
      </c>
      <c r="B382" s="10" t="s">
        <v>826</v>
      </c>
      <c r="C382" s="10" t="s">
        <v>824</v>
      </c>
      <c r="D382" s="10" t="s">
        <v>8</v>
      </c>
      <c r="E382" s="10" t="s">
        <v>634</v>
      </c>
    </row>
    <row r="383" customFormat="false" ht="15" hidden="false" customHeight="false" outlineLevel="0" collapsed="false">
      <c r="A383" s="10" t="s">
        <v>827</v>
      </c>
      <c r="B383" s="10" t="s">
        <v>828</v>
      </c>
      <c r="C383" s="10" t="s">
        <v>824</v>
      </c>
      <c r="D383" s="10" t="s">
        <v>8</v>
      </c>
      <c r="E383" s="10" t="s">
        <v>634</v>
      </c>
    </row>
    <row r="384" customFormat="false" ht="15" hidden="false" customHeight="false" outlineLevel="0" collapsed="false">
      <c r="A384" s="10" t="s">
        <v>829</v>
      </c>
      <c r="B384" s="10" t="s">
        <v>614</v>
      </c>
      <c r="C384" s="10" t="s">
        <v>824</v>
      </c>
      <c r="D384" s="10" t="s">
        <v>8</v>
      </c>
      <c r="E384" s="10" t="s">
        <v>634</v>
      </c>
    </row>
    <row r="385" customFormat="false" ht="15" hidden="false" customHeight="false" outlineLevel="0" collapsed="false">
      <c r="A385" s="10" t="s">
        <v>830</v>
      </c>
      <c r="B385" s="10" t="s">
        <v>831</v>
      </c>
      <c r="C385" s="10" t="s">
        <v>832</v>
      </c>
      <c r="D385" s="10" t="s">
        <v>8</v>
      </c>
      <c r="E385" s="10" t="s">
        <v>634</v>
      </c>
    </row>
    <row r="386" customFormat="false" ht="15" hidden="false" customHeight="false" outlineLevel="0" collapsed="false">
      <c r="A386" s="10" t="s">
        <v>833</v>
      </c>
      <c r="B386" s="10" t="s">
        <v>834</v>
      </c>
      <c r="C386" s="10" t="s">
        <v>832</v>
      </c>
      <c r="D386" s="10" t="s">
        <v>8</v>
      </c>
      <c r="E386" s="10" t="s">
        <v>634</v>
      </c>
    </row>
    <row r="387" customFormat="false" ht="15" hidden="false" customHeight="false" outlineLevel="0" collapsed="false">
      <c r="A387" s="10" t="s">
        <v>835</v>
      </c>
      <c r="B387" s="10" t="s">
        <v>836</v>
      </c>
      <c r="C387" s="10" t="s">
        <v>832</v>
      </c>
      <c r="D387" s="10" t="s">
        <v>8</v>
      </c>
      <c r="E387" s="10" t="s">
        <v>634</v>
      </c>
    </row>
    <row r="388" customFormat="false" ht="15" hidden="false" customHeight="false" outlineLevel="0" collapsed="false">
      <c r="A388" s="10" t="s">
        <v>837</v>
      </c>
      <c r="B388" s="10" t="s">
        <v>838</v>
      </c>
      <c r="C388" s="10" t="s">
        <v>832</v>
      </c>
      <c r="D388" s="10" t="s">
        <v>8</v>
      </c>
      <c r="E388" s="10" t="s">
        <v>634</v>
      </c>
    </row>
    <row r="389" customFormat="false" ht="15" hidden="false" customHeight="false" outlineLevel="0" collapsed="false">
      <c r="A389" s="10" t="s">
        <v>839</v>
      </c>
      <c r="B389" s="10" t="s">
        <v>840</v>
      </c>
      <c r="C389" s="10" t="s">
        <v>841</v>
      </c>
      <c r="D389" s="10" t="s">
        <v>8</v>
      </c>
      <c r="E389" s="10" t="s">
        <v>634</v>
      </c>
    </row>
    <row r="390" customFormat="false" ht="15" hidden="false" customHeight="false" outlineLevel="0" collapsed="false">
      <c r="A390" s="10" t="s">
        <v>842</v>
      </c>
      <c r="B390" s="10" t="s">
        <v>843</v>
      </c>
      <c r="C390" s="10" t="s">
        <v>841</v>
      </c>
      <c r="D390" s="10" t="s">
        <v>8</v>
      </c>
      <c r="E390" s="10" t="s">
        <v>634</v>
      </c>
    </row>
    <row r="391" customFormat="false" ht="15" hidden="false" customHeight="false" outlineLevel="0" collapsed="false">
      <c r="A391" s="10" t="s">
        <v>844</v>
      </c>
      <c r="B391" s="10" t="s">
        <v>845</v>
      </c>
      <c r="C391" s="10" t="s">
        <v>841</v>
      </c>
      <c r="D391" s="10" t="s">
        <v>8</v>
      </c>
      <c r="E391" s="10" t="s">
        <v>634</v>
      </c>
    </row>
    <row r="392" customFormat="false" ht="15" hidden="false" customHeight="false" outlineLevel="0" collapsed="false">
      <c r="A392" s="10" t="s">
        <v>846</v>
      </c>
      <c r="B392" s="10" t="s">
        <v>847</v>
      </c>
      <c r="C392" s="10" t="s">
        <v>841</v>
      </c>
      <c r="D392" s="10" t="s">
        <v>8</v>
      </c>
      <c r="E392" s="10" t="s">
        <v>634</v>
      </c>
    </row>
    <row r="393" customFormat="false" ht="15" hidden="false" customHeight="false" outlineLevel="0" collapsed="false">
      <c r="A393" s="10" t="s">
        <v>848</v>
      </c>
      <c r="B393" s="10" t="s">
        <v>849</v>
      </c>
      <c r="C393" s="10" t="s">
        <v>841</v>
      </c>
      <c r="D393" s="10" t="s">
        <v>8</v>
      </c>
      <c r="E393" s="10" t="s">
        <v>634</v>
      </c>
    </row>
    <row r="394" customFormat="false" ht="15" hidden="false" customHeight="false" outlineLevel="0" collapsed="false">
      <c r="A394" s="10" t="s">
        <v>850</v>
      </c>
      <c r="B394" s="10" t="s">
        <v>851</v>
      </c>
      <c r="C394" s="10" t="s">
        <v>841</v>
      </c>
      <c r="D394" s="10" t="s">
        <v>8</v>
      </c>
      <c r="E394" s="10" t="s">
        <v>634</v>
      </c>
    </row>
    <row r="395" customFormat="false" ht="15" hidden="false" customHeight="false" outlineLevel="0" collapsed="false">
      <c r="A395" s="10" t="s">
        <v>852</v>
      </c>
      <c r="B395" s="10" t="s">
        <v>853</v>
      </c>
      <c r="C395" s="10" t="s">
        <v>841</v>
      </c>
      <c r="D395" s="10" t="s">
        <v>8</v>
      </c>
      <c r="E395" s="10" t="s">
        <v>634</v>
      </c>
    </row>
    <row r="396" customFormat="false" ht="15" hidden="false" customHeight="false" outlineLevel="0" collapsed="false">
      <c r="A396" s="10" t="s">
        <v>854</v>
      </c>
      <c r="B396" s="10" t="s">
        <v>855</v>
      </c>
      <c r="C396" s="10" t="s">
        <v>856</v>
      </c>
      <c r="D396" s="10" t="s">
        <v>8</v>
      </c>
      <c r="E396" s="10" t="s">
        <v>634</v>
      </c>
    </row>
    <row r="397" customFormat="false" ht="15" hidden="false" customHeight="false" outlineLevel="0" collapsed="false">
      <c r="A397" s="10" t="s">
        <v>857</v>
      </c>
      <c r="B397" s="10" t="s">
        <v>858</v>
      </c>
      <c r="C397" s="10" t="s">
        <v>856</v>
      </c>
      <c r="D397" s="10" t="s">
        <v>8</v>
      </c>
      <c r="E397" s="10" t="s">
        <v>634</v>
      </c>
    </row>
    <row r="398" customFormat="false" ht="15" hidden="false" customHeight="false" outlineLevel="0" collapsed="false">
      <c r="A398" s="10" t="s">
        <v>859</v>
      </c>
      <c r="B398" s="10" t="s">
        <v>860</v>
      </c>
      <c r="C398" s="10" t="s">
        <v>856</v>
      </c>
      <c r="D398" s="10" t="s">
        <v>8</v>
      </c>
      <c r="E398" s="10" t="s">
        <v>634</v>
      </c>
    </row>
    <row r="399" customFormat="false" ht="15" hidden="false" customHeight="false" outlineLevel="0" collapsed="false">
      <c r="A399" s="10" t="s">
        <v>861</v>
      </c>
      <c r="B399" s="10" t="s">
        <v>862</v>
      </c>
      <c r="C399" s="10" t="s">
        <v>856</v>
      </c>
      <c r="D399" s="10" t="s">
        <v>8</v>
      </c>
      <c r="E399" s="10" t="s">
        <v>634</v>
      </c>
    </row>
    <row r="400" customFormat="false" ht="15" hidden="false" customHeight="false" outlineLevel="0" collapsed="false">
      <c r="A400" s="10" t="s">
        <v>863</v>
      </c>
      <c r="B400" s="10" t="s">
        <v>864</v>
      </c>
      <c r="C400" s="10" t="s">
        <v>856</v>
      </c>
      <c r="D400" s="10" t="s">
        <v>8</v>
      </c>
      <c r="E400" s="10" t="s">
        <v>634</v>
      </c>
    </row>
    <row r="401" customFormat="false" ht="15" hidden="false" customHeight="false" outlineLevel="0" collapsed="false">
      <c r="A401" s="10" t="s">
        <v>865</v>
      </c>
      <c r="B401" s="10" t="s">
        <v>866</v>
      </c>
      <c r="C401" s="10" t="s">
        <v>856</v>
      </c>
      <c r="D401" s="10" t="s">
        <v>8</v>
      </c>
      <c r="E401" s="10" t="s">
        <v>634</v>
      </c>
    </row>
    <row r="402" customFormat="false" ht="15" hidden="false" customHeight="false" outlineLevel="0" collapsed="false">
      <c r="A402" s="10" t="s">
        <v>867</v>
      </c>
      <c r="B402" s="10" t="s">
        <v>868</v>
      </c>
      <c r="C402" s="10" t="s">
        <v>856</v>
      </c>
      <c r="D402" s="10" t="s">
        <v>8</v>
      </c>
      <c r="E402" s="10" t="s">
        <v>634</v>
      </c>
    </row>
    <row r="403" customFormat="false" ht="15" hidden="false" customHeight="false" outlineLevel="0" collapsed="false">
      <c r="A403" s="10" t="s">
        <v>869</v>
      </c>
      <c r="B403" s="10" t="s">
        <v>870</v>
      </c>
      <c r="C403" s="10" t="s">
        <v>856</v>
      </c>
      <c r="D403" s="10" t="s">
        <v>8</v>
      </c>
      <c r="E403" s="10" t="s">
        <v>634</v>
      </c>
    </row>
    <row r="404" customFormat="false" ht="15" hidden="false" customHeight="false" outlineLevel="0" collapsed="false">
      <c r="A404" s="10" t="s">
        <v>871</v>
      </c>
      <c r="B404" s="10" t="s">
        <v>872</v>
      </c>
      <c r="C404" s="10" t="s">
        <v>856</v>
      </c>
      <c r="D404" s="10" t="s">
        <v>8</v>
      </c>
      <c r="E404" s="10" t="s">
        <v>634</v>
      </c>
    </row>
    <row r="405" customFormat="false" ht="15" hidden="false" customHeight="false" outlineLevel="0" collapsed="false">
      <c r="A405" s="10" t="s">
        <v>873</v>
      </c>
      <c r="B405" s="10" t="s">
        <v>874</v>
      </c>
      <c r="C405" s="10" t="s">
        <v>856</v>
      </c>
      <c r="D405" s="10" t="s">
        <v>8</v>
      </c>
      <c r="E405" s="10" t="s">
        <v>634</v>
      </c>
    </row>
    <row r="406" customFormat="false" ht="15" hidden="false" customHeight="false" outlineLevel="0" collapsed="false">
      <c r="A406" s="10" t="s">
        <v>875</v>
      </c>
      <c r="B406" s="10" t="s">
        <v>876</v>
      </c>
      <c r="C406" s="10" t="s">
        <v>856</v>
      </c>
      <c r="D406" s="10" t="s">
        <v>8</v>
      </c>
      <c r="E406" s="10" t="s">
        <v>634</v>
      </c>
    </row>
    <row r="407" customFormat="false" ht="15" hidden="false" customHeight="false" outlineLevel="0" collapsed="false">
      <c r="A407" s="10" t="s">
        <v>877</v>
      </c>
      <c r="B407" s="10" t="s">
        <v>878</v>
      </c>
      <c r="C407" s="10" t="s">
        <v>879</v>
      </c>
      <c r="D407" s="10" t="s">
        <v>8</v>
      </c>
      <c r="E407" s="10" t="s">
        <v>634</v>
      </c>
    </row>
    <row r="408" customFormat="false" ht="15" hidden="false" customHeight="false" outlineLevel="0" collapsed="false">
      <c r="A408" s="10" t="s">
        <v>880</v>
      </c>
      <c r="B408" s="10" t="s">
        <v>881</v>
      </c>
      <c r="C408" s="10" t="s">
        <v>879</v>
      </c>
      <c r="D408" s="10" t="s">
        <v>8</v>
      </c>
      <c r="E408" s="10" t="s">
        <v>634</v>
      </c>
    </row>
    <row r="409" customFormat="false" ht="15" hidden="false" customHeight="false" outlineLevel="0" collapsed="false">
      <c r="A409" s="10" t="s">
        <v>882</v>
      </c>
      <c r="B409" s="10" t="s">
        <v>883</v>
      </c>
      <c r="C409" s="10" t="s">
        <v>879</v>
      </c>
      <c r="D409" s="10" t="s">
        <v>8</v>
      </c>
      <c r="E409" s="10" t="s">
        <v>634</v>
      </c>
    </row>
    <row r="410" customFormat="false" ht="15" hidden="false" customHeight="false" outlineLevel="0" collapsed="false">
      <c r="A410" s="10" t="s">
        <v>884</v>
      </c>
      <c r="B410" s="10" t="s">
        <v>885</v>
      </c>
      <c r="C410" s="10" t="s">
        <v>879</v>
      </c>
      <c r="D410" s="10" t="s">
        <v>8</v>
      </c>
      <c r="E410" s="10" t="s">
        <v>634</v>
      </c>
    </row>
    <row r="411" customFormat="false" ht="15" hidden="false" customHeight="false" outlineLevel="0" collapsed="false">
      <c r="A411" s="10" t="s">
        <v>886</v>
      </c>
      <c r="B411" s="10" t="s">
        <v>887</v>
      </c>
      <c r="C411" s="10" t="s">
        <v>888</v>
      </c>
      <c r="D411" s="10" t="s">
        <v>8</v>
      </c>
      <c r="E411" s="10" t="s">
        <v>634</v>
      </c>
    </row>
    <row r="412" customFormat="false" ht="15" hidden="false" customHeight="false" outlineLevel="0" collapsed="false">
      <c r="A412" s="10" t="s">
        <v>889</v>
      </c>
      <c r="B412" s="10" t="s">
        <v>890</v>
      </c>
      <c r="C412" s="10" t="s">
        <v>888</v>
      </c>
      <c r="D412" s="10" t="s">
        <v>8</v>
      </c>
      <c r="E412" s="10" t="s">
        <v>634</v>
      </c>
    </row>
    <row r="413" customFormat="false" ht="15" hidden="false" customHeight="false" outlineLevel="0" collapsed="false">
      <c r="A413" s="10" t="s">
        <v>891</v>
      </c>
      <c r="B413" s="10" t="s">
        <v>892</v>
      </c>
      <c r="C413" s="10" t="s">
        <v>888</v>
      </c>
      <c r="D413" s="10" t="s">
        <v>8</v>
      </c>
      <c r="E413" s="10" t="s">
        <v>634</v>
      </c>
    </row>
    <row r="414" customFormat="false" ht="15" hidden="false" customHeight="false" outlineLevel="0" collapsed="false">
      <c r="A414" s="10" t="s">
        <v>893</v>
      </c>
      <c r="B414" s="10" t="s">
        <v>894</v>
      </c>
      <c r="C414" s="10" t="s">
        <v>888</v>
      </c>
      <c r="D414" s="10" t="s">
        <v>8</v>
      </c>
      <c r="E414" s="10" t="s">
        <v>634</v>
      </c>
    </row>
    <row r="415" customFormat="false" ht="15" hidden="false" customHeight="false" outlineLevel="0" collapsed="false">
      <c r="A415" s="10" t="s">
        <v>895</v>
      </c>
      <c r="B415" s="10" t="s">
        <v>896</v>
      </c>
      <c r="C415" s="10" t="s">
        <v>888</v>
      </c>
      <c r="D415" s="10" t="s">
        <v>8</v>
      </c>
      <c r="E415" s="10" t="s">
        <v>634</v>
      </c>
    </row>
    <row r="416" customFormat="false" ht="15" hidden="false" customHeight="false" outlineLevel="0" collapsed="false">
      <c r="A416" s="10" t="s">
        <v>897</v>
      </c>
      <c r="B416" s="10" t="s">
        <v>898</v>
      </c>
      <c r="C416" s="10" t="s">
        <v>888</v>
      </c>
      <c r="D416" s="10" t="s">
        <v>8</v>
      </c>
      <c r="E416" s="10" t="s">
        <v>634</v>
      </c>
    </row>
  </sheetData>
  <autoFilter ref="A1:E4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5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66"/>
    <col collapsed="false" customWidth="true" hidden="false" outlineLevel="0" max="3" min="3" style="0" width="34"/>
    <col collapsed="false" customWidth="true" hidden="false" outlineLevel="0" max="4" min="4" style="0" width="56"/>
    <col collapsed="false" customWidth="true" hidden="false" outlineLevel="0" max="5" min="5" style="0" width="10"/>
    <col collapsed="false" customWidth="true" hidden="false" outlineLevel="0" max="6" min="6" style="0" width="14"/>
  </cols>
  <sheetData>
    <row r="1" customFormat="false" ht="23.85" hidden="false" customHeight="false" outlineLevel="0" collapsed="false">
      <c r="A1" s="8" t="s">
        <v>899</v>
      </c>
      <c r="B1" s="8" t="s">
        <v>900</v>
      </c>
      <c r="C1" s="8" t="s">
        <v>18</v>
      </c>
      <c r="D1" s="8" t="s">
        <v>901</v>
      </c>
      <c r="E1" s="8" t="s">
        <v>902</v>
      </c>
      <c r="F1" s="8" t="s">
        <v>19</v>
      </c>
    </row>
    <row r="2" customFormat="false" ht="15" hidden="false" customHeight="false" outlineLevel="0" collapsed="false">
      <c r="A2" s="9" t="n">
        <v>1</v>
      </c>
      <c r="B2" s="9" t="s">
        <v>903</v>
      </c>
      <c r="C2" s="9" t="s">
        <v>8</v>
      </c>
      <c r="D2" s="9" t="s">
        <v>904</v>
      </c>
      <c r="E2" s="9" t="n">
        <f aca="false">IF(LEN(TRIM(D2))=0,0,LEN(D2)-LEN(SUBSTITUTE(D2,",",""))+1)</f>
        <v>7</v>
      </c>
      <c r="F2" s="9" t="s">
        <v>23</v>
      </c>
    </row>
    <row r="3" customFormat="false" ht="15" hidden="false" customHeight="false" outlineLevel="0" collapsed="false">
      <c r="A3" s="9" t="n">
        <v>2</v>
      </c>
      <c r="B3" s="9" t="s">
        <v>905</v>
      </c>
      <c r="C3" s="9" t="s">
        <v>8</v>
      </c>
      <c r="D3" s="9" t="s">
        <v>906</v>
      </c>
      <c r="E3" s="9" t="n">
        <f aca="false">IF(LEN(TRIM(D3))=0,0,LEN(D3)-LEN(SUBSTITUTE(D3,",",""))+1)</f>
        <v>10</v>
      </c>
      <c r="F3" s="9" t="s">
        <v>23</v>
      </c>
    </row>
    <row r="4" customFormat="false" ht="15" hidden="false" customHeight="false" outlineLevel="0" collapsed="false">
      <c r="A4" s="9" t="n">
        <v>3</v>
      </c>
      <c r="B4" s="9" t="s">
        <v>907</v>
      </c>
      <c r="C4" s="9" t="s">
        <v>8</v>
      </c>
      <c r="D4" s="9" t="s">
        <v>908</v>
      </c>
      <c r="E4" s="9" t="n">
        <f aca="false">IF(LEN(TRIM(D4))=0,0,LEN(D4)-LEN(SUBSTITUTE(D4,",",""))+1)</f>
        <v>2</v>
      </c>
      <c r="F4" s="9" t="s">
        <v>23</v>
      </c>
    </row>
    <row r="5" customFormat="false" ht="15" hidden="false" customHeight="false" outlineLevel="0" collapsed="false">
      <c r="A5" s="9" t="n">
        <v>4</v>
      </c>
      <c r="B5" s="9" t="s">
        <v>909</v>
      </c>
      <c r="C5" s="9" t="s">
        <v>8</v>
      </c>
      <c r="D5" s="9" t="s">
        <v>910</v>
      </c>
      <c r="E5" s="9" t="n">
        <f aca="false">IF(LEN(TRIM(D5))=0,0,LEN(D5)-LEN(SUBSTITUTE(D5,",",""))+1)</f>
        <v>4</v>
      </c>
      <c r="F5" s="9" t="s">
        <v>23</v>
      </c>
    </row>
    <row r="6" customFormat="false" ht="15" hidden="false" customHeight="false" outlineLevel="0" collapsed="false">
      <c r="A6" s="9" t="n">
        <v>5</v>
      </c>
      <c r="B6" s="9" t="s">
        <v>911</v>
      </c>
      <c r="C6" s="9" t="s">
        <v>8</v>
      </c>
      <c r="D6" s="9" t="s">
        <v>912</v>
      </c>
      <c r="E6" s="9" t="n">
        <f aca="false">IF(LEN(TRIM(D6))=0,0,LEN(D6)-LEN(SUBSTITUTE(D6,",",""))+1)</f>
        <v>7</v>
      </c>
      <c r="F6" s="9" t="s">
        <v>23</v>
      </c>
    </row>
    <row r="7" customFormat="false" ht="15" hidden="false" customHeight="false" outlineLevel="0" collapsed="false">
      <c r="A7" s="9" t="n">
        <v>6</v>
      </c>
      <c r="B7" s="9" t="s">
        <v>913</v>
      </c>
      <c r="C7" s="9" t="s">
        <v>8</v>
      </c>
      <c r="D7" s="9" t="s">
        <v>914</v>
      </c>
      <c r="E7" s="9" t="n">
        <f aca="false">IF(LEN(TRIM(D7))=0,0,LEN(D7)-LEN(SUBSTITUTE(D7,",",""))+1)</f>
        <v>6</v>
      </c>
      <c r="F7" s="9" t="s">
        <v>23</v>
      </c>
    </row>
    <row r="8" customFormat="false" ht="15" hidden="false" customHeight="false" outlineLevel="0" collapsed="false">
      <c r="A8" s="9" t="n">
        <v>7</v>
      </c>
      <c r="B8" s="9" t="s">
        <v>915</v>
      </c>
      <c r="C8" s="9" t="s">
        <v>8</v>
      </c>
      <c r="D8" s="9" t="s">
        <v>916</v>
      </c>
      <c r="E8" s="9" t="n">
        <f aca="false">IF(LEN(TRIM(D8))=0,0,LEN(D8)-LEN(SUBSTITUTE(D8,",",""))+1)</f>
        <v>5</v>
      </c>
      <c r="F8" s="9" t="s">
        <v>23</v>
      </c>
    </row>
    <row r="9" customFormat="false" ht="15" hidden="false" customHeight="false" outlineLevel="0" collapsed="false">
      <c r="A9" s="9" t="n">
        <v>8</v>
      </c>
      <c r="B9" s="9" t="s">
        <v>917</v>
      </c>
      <c r="C9" s="9" t="s">
        <v>8</v>
      </c>
      <c r="D9" s="9" t="s">
        <v>918</v>
      </c>
      <c r="E9" s="9" t="n">
        <f aca="false">IF(LEN(TRIM(D9))=0,0,LEN(D9)-LEN(SUBSTITUTE(D9,",",""))+1)</f>
        <v>4</v>
      </c>
      <c r="F9" s="9" t="s">
        <v>23</v>
      </c>
    </row>
    <row r="10" customFormat="false" ht="15" hidden="false" customHeight="false" outlineLevel="0" collapsed="false">
      <c r="A10" s="9" t="n">
        <v>9</v>
      </c>
      <c r="B10" s="9" t="s">
        <v>919</v>
      </c>
      <c r="C10" s="9" t="s">
        <v>8</v>
      </c>
      <c r="D10" s="9" t="s">
        <v>920</v>
      </c>
      <c r="E10" s="9" t="n">
        <f aca="false">IF(LEN(TRIM(D10))=0,0,LEN(D10)-LEN(SUBSTITUTE(D10,",",""))+1)</f>
        <v>4</v>
      </c>
      <c r="F10" s="9" t="s">
        <v>23</v>
      </c>
    </row>
    <row r="11" customFormat="false" ht="15" hidden="false" customHeight="false" outlineLevel="0" collapsed="false">
      <c r="A11" s="9" t="n">
        <v>10</v>
      </c>
      <c r="B11" s="9" t="s">
        <v>921</v>
      </c>
      <c r="C11" s="9" t="s">
        <v>8</v>
      </c>
      <c r="D11" s="9" t="s">
        <v>922</v>
      </c>
      <c r="E11" s="9" t="n">
        <f aca="false">IF(LEN(TRIM(D11))=0,0,LEN(D11)-LEN(SUBSTITUTE(D11,",",""))+1)</f>
        <v>3</v>
      </c>
      <c r="F11" s="9" t="s">
        <v>23</v>
      </c>
    </row>
    <row r="12" customFormat="false" ht="15" hidden="false" customHeight="false" outlineLevel="0" collapsed="false">
      <c r="A12" s="9" t="n">
        <v>11</v>
      </c>
      <c r="B12" s="9" t="s">
        <v>923</v>
      </c>
      <c r="C12" s="9" t="s">
        <v>8</v>
      </c>
      <c r="D12" s="9" t="s">
        <v>924</v>
      </c>
      <c r="E12" s="9" t="n">
        <f aca="false">IF(LEN(TRIM(D12))=0,0,LEN(D12)-LEN(SUBSTITUTE(D12,",",""))+1)</f>
        <v>3</v>
      </c>
      <c r="F12" s="9" t="s">
        <v>23</v>
      </c>
    </row>
    <row r="13" customFormat="false" ht="15" hidden="false" customHeight="false" outlineLevel="0" collapsed="false">
      <c r="A13" s="9" t="n">
        <v>12</v>
      </c>
      <c r="B13" s="9" t="s">
        <v>925</v>
      </c>
      <c r="C13" s="9" t="s">
        <v>8</v>
      </c>
      <c r="D13" s="9" t="s">
        <v>926</v>
      </c>
      <c r="E13" s="9" t="n">
        <f aca="false">IF(LEN(TRIM(D13))=0,0,LEN(D13)-LEN(SUBSTITUTE(D13,",",""))+1)</f>
        <v>7</v>
      </c>
      <c r="F13" s="9" t="s">
        <v>23</v>
      </c>
    </row>
    <row r="14" customFormat="false" ht="15" hidden="false" customHeight="false" outlineLevel="0" collapsed="false">
      <c r="A14" s="9" t="n">
        <v>13</v>
      </c>
      <c r="B14" s="9" t="s">
        <v>927</v>
      </c>
      <c r="C14" s="9" t="s">
        <v>8</v>
      </c>
      <c r="D14" s="9" t="s">
        <v>928</v>
      </c>
      <c r="E14" s="9" t="n">
        <f aca="false">IF(LEN(TRIM(D14))=0,0,LEN(D14)-LEN(SUBSTITUTE(D14,",",""))+1)</f>
        <v>5</v>
      </c>
      <c r="F14" s="9" t="s">
        <v>23</v>
      </c>
    </row>
    <row r="15" customFormat="false" ht="15" hidden="false" customHeight="false" outlineLevel="0" collapsed="false">
      <c r="A15" s="9" t="n">
        <v>14</v>
      </c>
      <c r="B15" s="9" t="s">
        <v>929</v>
      </c>
      <c r="C15" s="9" t="s">
        <v>8</v>
      </c>
      <c r="D15" s="9" t="s">
        <v>930</v>
      </c>
      <c r="E15" s="9" t="n">
        <f aca="false">IF(LEN(TRIM(D15))=0,0,LEN(D15)-LEN(SUBSTITUTE(D15,",",""))+1)</f>
        <v>7</v>
      </c>
      <c r="F15" s="9" t="s">
        <v>23</v>
      </c>
    </row>
    <row r="16" customFormat="false" ht="15" hidden="false" customHeight="false" outlineLevel="0" collapsed="false">
      <c r="A16" s="9" t="n">
        <v>15</v>
      </c>
      <c r="B16" s="9" t="s">
        <v>931</v>
      </c>
      <c r="C16" s="9" t="s">
        <v>8</v>
      </c>
      <c r="D16" s="9" t="s">
        <v>932</v>
      </c>
      <c r="E16" s="9" t="n">
        <f aca="false">IF(LEN(TRIM(D16))=0,0,LEN(D16)-LEN(SUBSTITUTE(D16,",",""))+1)</f>
        <v>7</v>
      </c>
      <c r="F16" s="9" t="s">
        <v>23</v>
      </c>
    </row>
    <row r="17" customFormat="false" ht="15" hidden="false" customHeight="false" outlineLevel="0" collapsed="false">
      <c r="A17" s="9" t="n">
        <v>16</v>
      </c>
      <c r="B17" s="9" t="s">
        <v>933</v>
      </c>
      <c r="C17" s="9" t="s">
        <v>8</v>
      </c>
      <c r="D17" s="9" t="s">
        <v>934</v>
      </c>
      <c r="E17" s="9" t="n">
        <f aca="false">IF(LEN(TRIM(D17))=0,0,LEN(D17)-LEN(SUBSTITUTE(D17,",",""))+1)</f>
        <v>6</v>
      </c>
      <c r="F17" s="9" t="s">
        <v>23</v>
      </c>
    </row>
    <row r="18" customFormat="false" ht="15" hidden="false" customHeight="false" outlineLevel="0" collapsed="false">
      <c r="A18" s="9" t="n">
        <v>17</v>
      </c>
      <c r="B18" s="9" t="s">
        <v>935</v>
      </c>
      <c r="C18" s="9" t="s">
        <v>8</v>
      </c>
      <c r="D18" s="9" t="s">
        <v>936</v>
      </c>
      <c r="E18" s="9" t="n">
        <f aca="false">IF(LEN(TRIM(D18))=0,0,LEN(D18)-LEN(SUBSTITUTE(D18,",",""))+1)</f>
        <v>4</v>
      </c>
      <c r="F18" s="9" t="s">
        <v>23</v>
      </c>
    </row>
    <row r="19" customFormat="false" ht="15" hidden="false" customHeight="false" outlineLevel="0" collapsed="false">
      <c r="A19" s="9" t="n">
        <v>18</v>
      </c>
      <c r="B19" s="9" t="s">
        <v>937</v>
      </c>
      <c r="C19" s="9" t="s">
        <v>8</v>
      </c>
      <c r="D19" s="9" t="s">
        <v>938</v>
      </c>
      <c r="E19" s="9" t="n">
        <f aca="false">IF(LEN(TRIM(D19))=0,0,LEN(D19)-LEN(SUBSTITUTE(D19,",",""))+1)</f>
        <v>4</v>
      </c>
      <c r="F19" s="9" t="s">
        <v>23</v>
      </c>
    </row>
    <row r="20" customFormat="false" ht="15" hidden="false" customHeight="false" outlineLevel="0" collapsed="false">
      <c r="A20" s="9" t="n">
        <v>19</v>
      </c>
      <c r="B20" s="9" t="s">
        <v>939</v>
      </c>
      <c r="C20" s="9" t="s">
        <v>8</v>
      </c>
      <c r="D20" s="9" t="s">
        <v>940</v>
      </c>
      <c r="E20" s="9" t="n">
        <f aca="false">IF(LEN(TRIM(D20))=0,0,LEN(D20)-LEN(SUBSTITUTE(D20,",",""))+1)</f>
        <v>7</v>
      </c>
      <c r="F20" s="9" t="s">
        <v>23</v>
      </c>
    </row>
    <row r="21" customFormat="false" ht="15" hidden="false" customHeight="false" outlineLevel="0" collapsed="false">
      <c r="A21" s="9" t="n">
        <v>20</v>
      </c>
      <c r="B21" s="9" t="s">
        <v>941</v>
      </c>
      <c r="C21" s="9" t="s">
        <v>8</v>
      </c>
      <c r="D21" s="9" t="s">
        <v>942</v>
      </c>
      <c r="E21" s="9" t="n">
        <f aca="false">IF(LEN(TRIM(D21))=0,0,LEN(D21)-LEN(SUBSTITUTE(D21,",",""))+1)</f>
        <v>11</v>
      </c>
      <c r="F21" s="9" t="s">
        <v>23</v>
      </c>
    </row>
    <row r="22" customFormat="false" ht="15" hidden="false" customHeight="false" outlineLevel="0" collapsed="false">
      <c r="A22" s="9" t="n">
        <v>21</v>
      </c>
      <c r="B22" s="9" t="s">
        <v>943</v>
      </c>
      <c r="C22" s="9" t="s">
        <v>8</v>
      </c>
      <c r="D22" s="9" t="s">
        <v>944</v>
      </c>
      <c r="E22" s="9" t="n">
        <f aca="false">IF(LEN(TRIM(D22))=0,0,LEN(D22)-LEN(SUBSTITUTE(D22,",",""))+1)</f>
        <v>4</v>
      </c>
      <c r="F22" s="9" t="s">
        <v>23</v>
      </c>
    </row>
    <row r="23" customFormat="false" ht="15" hidden="false" customHeight="false" outlineLevel="0" collapsed="false">
      <c r="A23" s="9" t="n">
        <v>22</v>
      </c>
      <c r="B23" s="9" t="s">
        <v>945</v>
      </c>
      <c r="C23" s="9" t="s">
        <v>8</v>
      </c>
      <c r="D23" s="9" t="s">
        <v>946</v>
      </c>
      <c r="E23" s="9" t="n">
        <f aca="false">IF(LEN(TRIM(D23))=0,0,LEN(D23)-LEN(SUBSTITUTE(D23,",",""))+1)</f>
        <v>6</v>
      </c>
      <c r="F23" s="9" t="s">
        <v>23</v>
      </c>
    </row>
    <row r="24" customFormat="false" ht="15" hidden="false" customHeight="false" outlineLevel="0" collapsed="false">
      <c r="A24" s="9" t="n">
        <v>23</v>
      </c>
      <c r="B24" s="9" t="s">
        <v>947</v>
      </c>
      <c r="C24" s="9" t="s">
        <v>9</v>
      </c>
      <c r="D24" s="9" t="s">
        <v>948</v>
      </c>
      <c r="E24" s="9" t="n">
        <f aca="false">IF(LEN(TRIM(D24))=0,0,LEN(D24)-LEN(SUBSTITUTE(D24,",",""))+1)</f>
        <v>11</v>
      </c>
      <c r="F24" s="9" t="s">
        <v>23</v>
      </c>
    </row>
    <row r="25" customFormat="false" ht="15" hidden="false" customHeight="false" outlineLevel="0" collapsed="false">
      <c r="A25" s="9" t="n">
        <v>24</v>
      </c>
      <c r="B25" s="9" t="s">
        <v>949</v>
      </c>
      <c r="C25" s="9" t="s">
        <v>9</v>
      </c>
      <c r="D25" s="9" t="s">
        <v>950</v>
      </c>
      <c r="E25" s="9" t="n">
        <f aca="false">IF(LEN(TRIM(D25))=0,0,LEN(D25)-LEN(SUBSTITUTE(D25,",",""))+1)</f>
        <v>14</v>
      </c>
      <c r="F25" s="9" t="s">
        <v>23</v>
      </c>
    </row>
    <row r="26" customFormat="false" ht="15" hidden="false" customHeight="false" outlineLevel="0" collapsed="false">
      <c r="A26" s="9" t="n">
        <v>25</v>
      </c>
      <c r="B26" s="9" t="s">
        <v>951</v>
      </c>
      <c r="C26" s="9" t="s">
        <v>9</v>
      </c>
      <c r="D26" s="9" t="s">
        <v>952</v>
      </c>
      <c r="E26" s="9" t="n">
        <f aca="false">IF(LEN(TRIM(D26))=0,0,LEN(D26)-LEN(SUBSTITUTE(D26,",",""))+1)</f>
        <v>15</v>
      </c>
      <c r="F26" s="9" t="s">
        <v>23</v>
      </c>
    </row>
    <row r="27" customFormat="false" ht="15" hidden="false" customHeight="false" outlineLevel="0" collapsed="false">
      <c r="A27" s="9" t="n">
        <v>26</v>
      </c>
      <c r="B27" s="9" t="s">
        <v>953</v>
      </c>
      <c r="C27" s="9" t="s">
        <v>9</v>
      </c>
      <c r="D27" s="9" t="s">
        <v>954</v>
      </c>
      <c r="E27" s="9" t="n">
        <f aca="false">IF(LEN(TRIM(D27))=0,0,LEN(D27)-LEN(SUBSTITUTE(D27,",",""))+1)</f>
        <v>7</v>
      </c>
      <c r="F27" s="9" t="s">
        <v>23</v>
      </c>
    </row>
    <row r="28" customFormat="false" ht="15" hidden="false" customHeight="false" outlineLevel="0" collapsed="false">
      <c r="A28" s="9" t="n">
        <v>27</v>
      </c>
      <c r="B28" s="9" t="s">
        <v>955</v>
      </c>
      <c r="C28" s="9" t="s">
        <v>9</v>
      </c>
      <c r="D28" s="9" t="s">
        <v>956</v>
      </c>
      <c r="E28" s="9" t="n">
        <f aca="false">IF(LEN(TRIM(D28))=0,0,LEN(D28)-LEN(SUBSTITUTE(D28,",",""))+1)</f>
        <v>9</v>
      </c>
      <c r="F28" s="9" t="s">
        <v>23</v>
      </c>
    </row>
    <row r="29" customFormat="false" ht="15" hidden="false" customHeight="false" outlineLevel="0" collapsed="false">
      <c r="A29" s="9" t="n">
        <v>28</v>
      </c>
      <c r="B29" s="9" t="s">
        <v>957</v>
      </c>
      <c r="C29" s="9" t="s">
        <v>9</v>
      </c>
      <c r="D29" s="9" t="s">
        <v>958</v>
      </c>
      <c r="E29" s="9" t="n">
        <f aca="false">IF(LEN(TRIM(D29))=0,0,LEN(D29)-LEN(SUBSTITUTE(D29,",",""))+1)</f>
        <v>9</v>
      </c>
      <c r="F29" s="9" t="s">
        <v>23</v>
      </c>
    </row>
    <row r="30" customFormat="false" ht="23.85" hidden="false" customHeight="false" outlineLevel="0" collapsed="false">
      <c r="A30" s="9" t="n">
        <v>29</v>
      </c>
      <c r="B30" s="9" t="s">
        <v>959</v>
      </c>
      <c r="C30" s="9" t="s">
        <v>9</v>
      </c>
      <c r="D30" s="9" t="s">
        <v>960</v>
      </c>
      <c r="E30" s="9" t="n">
        <f aca="false">IF(LEN(TRIM(D30))=0,0,LEN(D30)-LEN(SUBSTITUTE(D30,",",""))+1)</f>
        <v>18</v>
      </c>
      <c r="F30" s="9" t="s">
        <v>23</v>
      </c>
    </row>
    <row r="31" customFormat="false" ht="15" hidden="false" customHeight="false" outlineLevel="0" collapsed="false">
      <c r="A31" s="9" t="n">
        <v>30</v>
      </c>
      <c r="B31" s="9" t="s">
        <v>961</v>
      </c>
      <c r="C31" s="9" t="s">
        <v>9</v>
      </c>
      <c r="D31" s="9" t="s">
        <v>962</v>
      </c>
      <c r="E31" s="9" t="n">
        <f aca="false">IF(LEN(TRIM(D31))=0,0,LEN(D31)-LEN(SUBSTITUTE(D31,",",""))+1)</f>
        <v>10</v>
      </c>
      <c r="F31" s="9" t="s">
        <v>23</v>
      </c>
    </row>
    <row r="32" customFormat="false" ht="23.85" hidden="false" customHeight="false" outlineLevel="0" collapsed="false">
      <c r="A32" s="9" t="n">
        <v>31</v>
      </c>
      <c r="B32" s="9" t="s">
        <v>963</v>
      </c>
      <c r="C32" s="9" t="s">
        <v>9</v>
      </c>
      <c r="D32" s="9" t="s">
        <v>964</v>
      </c>
      <c r="E32" s="9" t="n">
        <f aca="false">IF(LEN(TRIM(D32))=0,0,LEN(D32)-LEN(SUBSTITUTE(D32,",",""))+1)</f>
        <v>21</v>
      </c>
      <c r="F32" s="9" t="s">
        <v>23</v>
      </c>
    </row>
    <row r="33" customFormat="false" ht="15" hidden="false" customHeight="false" outlineLevel="0" collapsed="false">
      <c r="A33" s="9" t="n">
        <v>32</v>
      </c>
      <c r="B33" s="9" t="s">
        <v>965</v>
      </c>
      <c r="C33" s="9" t="s">
        <v>9</v>
      </c>
      <c r="D33" s="9" t="s">
        <v>966</v>
      </c>
      <c r="E33" s="9" t="n">
        <f aca="false">IF(LEN(TRIM(D33))=0,0,LEN(D33)-LEN(SUBSTITUTE(D33,",",""))+1)</f>
        <v>5</v>
      </c>
      <c r="F33" s="9" t="s">
        <v>23</v>
      </c>
    </row>
    <row r="34" customFormat="false" ht="15" hidden="false" customHeight="false" outlineLevel="0" collapsed="false">
      <c r="A34" s="9" t="n">
        <v>33</v>
      </c>
      <c r="B34" s="9" t="s">
        <v>967</v>
      </c>
      <c r="C34" s="9" t="s">
        <v>10</v>
      </c>
      <c r="D34" s="9" t="s">
        <v>968</v>
      </c>
      <c r="E34" s="9" t="n">
        <f aca="false">IF(LEN(TRIM(D34))=0,0,LEN(D34)-LEN(SUBSTITUTE(D34,",",""))+1)</f>
        <v>11</v>
      </c>
      <c r="F34" s="9" t="s">
        <v>23</v>
      </c>
    </row>
    <row r="35" customFormat="false" ht="15" hidden="false" customHeight="false" outlineLevel="0" collapsed="false">
      <c r="A35" s="9" t="n">
        <v>34</v>
      </c>
      <c r="B35" s="9" t="s">
        <v>969</v>
      </c>
      <c r="C35" s="9" t="s">
        <v>10</v>
      </c>
      <c r="D35" s="9" t="s">
        <v>970</v>
      </c>
      <c r="E35" s="9" t="n">
        <f aca="false">IF(LEN(TRIM(D35))=0,0,LEN(D35)-LEN(SUBSTITUTE(D35,",",""))+1)</f>
        <v>7</v>
      </c>
      <c r="F35" s="9" t="s">
        <v>23</v>
      </c>
    </row>
    <row r="36" customFormat="false" ht="15" hidden="false" customHeight="false" outlineLevel="0" collapsed="false">
      <c r="A36" s="9" t="n">
        <v>35</v>
      </c>
      <c r="B36" s="9" t="s">
        <v>971</v>
      </c>
      <c r="C36" s="9" t="s">
        <v>10</v>
      </c>
      <c r="D36" s="9" t="s">
        <v>972</v>
      </c>
      <c r="E36" s="9" t="n">
        <f aca="false">IF(LEN(TRIM(D36))=0,0,LEN(D36)-LEN(SUBSTITUTE(D36,",",""))+1)</f>
        <v>13</v>
      </c>
      <c r="F36" s="9" t="s">
        <v>23</v>
      </c>
    </row>
    <row r="37" customFormat="false" ht="15" hidden="false" customHeight="false" outlineLevel="0" collapsed="false">
      <c r="A37" s="9" t="n">
        <v>36</v>
      </c>
      <c r="B37" s="9" t="s">
        <v>973</v>
      </c>
      <c r="C37" s="9" t="s">
        <v>10</v>
      </c>
      <c r="D37" s="9" t="s">
        <v>974</v>
      </c>
      <c r="E37" s="9" t="n">
        <f aca="false">IF(LEN(TRIM(D37))=0,0,LEN(D37)-LEN(SUBSTITUTE(D37,",",""))+1)</f>
        <v>10</v>
      </c>
      <c r="F37" s="9" t="s">
        <v>23</v>
      </c>
    </row>
    <row r="38" customFormat="false" ht="15" hidden="false" customHeight="false" outlineLevel="0" collapsed="false">
      <c r="A38" s="9" t="n">
        <v>37</v>
      </c>
      <c r="B38" s="9" t="s">
        <v>975</v>
      </c>
      <c r="C38" s="9" t="s">
        <v>10</v>
      </c>
      <c r="D38" s="9" t="s">
        <v>976</v>
      </c>
      <c r="E38" s="9" t="n">
        <f aca="false">IF(LEN(TRIM(D38))=0,0,LEN(D38)-LEN(SUBSTITUTE(D38,",",""))+1)</f>
        <v>10</v>
      </c>
      <c r="F38" s="9" t="s">
        <v>23</v>
      </c>
    </row>
    <row r="39" customFormat="false" ht="15" hidden="false" customHeight="false" outlineLevel="0" collapsed="false">
      <c r="A39" s="9" t="n">
        <v>38</v>
      </c>
      <c r="B39" s="9" t="s">
        <v>977</v>
      </c>
      <c r="C39" s="9" t="s">
        <v>10</v>
      </c>
      <c r="D39" s="9" t="s">
        <v>978</v>
      </c>
      <c r="E39" s="9" t="n">
        <f aca="false">IF(LEN(TRIM(D39))=0,0,LEN(D39)-LEN(SUBSTITUTE(D39,",",""))+1)</f>
        <v>10</v>
      </c>
      <c r="F39" s="9" t="s">
        <v>23</v>
      </c>
    </row>
    <row r="40" customFormat="false" ht="15" hidden="false" customHeight="false" outlineLevel="0" collapsed="false">
      <c r="A40" s="9" t="n">
        <v>39</v>
      </c>
      <c r="B40" s="9" t="s">
        <v>979</v>
      </c>
      <c r="C40" s="9" t="s">
        <v>10</v>
      </c>
      <c r="D40" s="9" t="s">
        <v>980</v>
      </c>
      <c r="E40" s="9" t="n">
        <f aca="false">IF(LEN(TRIM(D40))=0,0,LEN(D40)-LEN(SUBSTITUTE(D40,",",""))+1)</f>
        <v>10</v>
      </c>
      <c r="F40" s="9" t="s">
        <v>23</v>
      </c>
    </row>
    <row r="41" customFormat="false" ht="15" hidden="false" customHeight="false" outlineLevel="0" collapsed="false">
      <c r="A41" s="9" t="n">
        <v>40</v>
      </c>
      <c r="B41" s="9" t="s">
        <v>981</v>
      </c>
      <c r="C41" s="9" t="s">
        <v>10</v>
      </c>
      <c r="D41" s="9" t="s">
        <v>982</v>
      </c>
      <c r="E41" s="9" t="n">
        <f aca="false">IF(LEN(TRIM(D41))=0,0,LEN(D41)-LEN(SUBSTITUTE(D41,",",""))+1)</f>
        <v>11</v>
      </c>
      <c r="F41" s="9" t="s">
        <v>23</v>
      </c>
    </row>
    <row r="42" customFormat="false" ht="15" hidden="false" customHeight="false" outlineLevel="0" collapsed="false">
      <c r="A42" s="9" t="n">
        <v>41</v>
      </c>
      <c r="B42" s="9" t="s">
        <v>983</v>
      </c>
      <c r="C42" s="9" t="s">
        <v>11</v>
      </c>
      <c r="D42" s="9"/>
      <c r="E42" s="9" t="n">
        <f aca="false">IF(LEN(TRIM(D42))=0,0,LEN(D42)-LEN(SUBSTITUTE(D42,",",""))+1)</f>
        <v>0</v>
      </c>
      <c r="F42" s="9" t="s">
        <v>23</v>
      </c>
    </row>
    <row r="43" customFormat="false" ht="15" hidden="false" customHeight="false" outlineLevel="0" collapsed="false">
      <c r="A43" s="9" t="n">
        <v>42</v>
      </c>
      <c r="B43" s="9" t="s">
        <v>984</v>
      </c>
      <c r="C43" s="9" t="s">
        <v>11</v>
      </c>
      <c r="D43" s="9"/>
      <c r="E43" s="9" t="n">
        <f aca="false">IF(LEN(TRIM(D43))=0,0,LEN(D43)-LEN(SUBSTITUTE(D43,",",""))+1)</f>
        <v>0</v>
      </c>
      <c r="F43" s="9" t="s">
        <v>23</v>
      </c>
    </row>
    <row r="44" customFormat="false" ht="15" hidden="false" customHeight="false" outlineLevel="0" collapsed="false">
      <c r="A44" s="9" t="n">
        <v>43</v>
      </c>
      <c r="B44" s="9" t="s">
        <v>985</v>
      </c>
      <c r="C44" s="9" t="s">
        <v>11</v>
      </c>
      <c r="D44" s="9"/>
      <c r="E44" s="9" t="n">
        <f aca="false">IF(LEN(TRIM(D44))=0,0,LEN(D44)-LEN(SUBSTITUTE(D44,",",""))+1)</f>
        <v>0</v>
      </c>
      <c r="F44" s="9" t="s">
        <v>23</v>
      </c>
    </row>
    <row r="45" customFormat="false" ht="15" hidden="false" customHeight="false" outlineLevel="0" collapsed="false">
      <c r="A45" s="9" t="n">
        <v>44</v>
      </c>
      <c r="B45" s="9" t="s">
        <v>986</v>
      </c>
      <c r="C45" s="9" t="s">
        <v>11</v>
      </c>
      <c r="D45" s="9"/>
      <c r="E45" s="9" t="n">
        <f aca="false">IF(LEN(TRIM(D45))=0,0,LEN(D45)-LEN(SUBSTITUTE(D45,",",""))+1)</f>
        <v>0</v>
      </c>
      <c r="F45" s="9" t="s">
        <v>23</v>
      </c>
    </row>
    <row r="46" customFormat="false" ht="15" hidden="false" customHeight="false" outlineLevel="0" collapsed="false">
      <c r="A46" s="9" t="n">
        <v>45</v>
      </c>
      <c r="B46" s="9" t="s">
        <v>987</v>
      </c>
      <c r="C46" s="9" t="s">
        <v>11</v>
      </c>
      <c r="D46" s="9"/>
      <c r="E46" s="9" t="n">
        <f aca="false">IF(LEN(TRIM(D46))=0,0,LEN(D46)-LEN(SUBSTITUTE(D46,",",""))+1)</f>
        <v>0</v>
      </c>
      <c r="F46" s="9" t="s">
        <v>23</v>
      </c>
    </row>
    <row r="47" customFormat="false" ht="15" hidden="false" customHeight="false" outlineLevel="0" collapsed="false">
      <c r="A47" s="9" t="n">
        <v>46</v>
      </c>
      <c r="B47" s="9" t="s">
        <v>988</v>
      </c>
      <c r="C47" s="9" t="s">
        <v>11</v>
      </c>
      <c r="D47" s="9"/>
      <c r="E47" s="9" t="n">
        <f aca="false">IF(LEN(TRIM(D47))=0,0,LEN(D47)-LEN(SUBSTITUTE(D47,",",""))+1)</f>
        <v>0</v>
      </c>
      <c r="F47" s="9" t="s">
        <v>23</v>
      </c>
    </row>
    <row r="48" customFormat="false" ht="15" hidden="false" customHeight="false" outlineLevel="0" collapsed="false">
      <c r="A48" s="9" t="n">
        <v>47</v>
      </c>
      <c r="B48" s="9" t="s">
        <v>989</v>
      </c>
      <c r="C48" s="9" t="s">
        <v>11</v>
      </c>
      <c r="D48" s="9"/>
      <c r="E48" s="9" t="n">
        <f aca="false">IF(LEN(TRIM(D48))=0,0,LEN(D48)-LEN(SUBSTITUTE(D48,",",""))+1)</f>
        <v>0</v>
      </c>
      <c r="F48" s="9" t="s">
        <v>23</v>
      </c>
    </row>
    <row r="49" customFormat="false" ht="15" hidden="false" customHeight="false" outlineLevel="0" collapsed="false">
      <c r="A49" s="9" t="n">
        <v>48</v>
      </c>
      <c r="B49" s="9" t="s">
        <v>990</v>
      </c>
      <c r="C49" s="9" t="s">
        <v>11</v>
      </c>
      <c r="D49" s="9" t="s">
        <v>991</v>
      </c>
      <c r="E49" s="9" t="n">
        <f aca="false">IF(LEN(TRIM(D49))=0,0,LEN(D49)-LEN(SUBSTITUTE(D49,",",""))+1)</f>
        <v>9</v>
      </c>
      <c r="F49" s="9" t="s">
        <v>23</v>
      </c>
    </row>
    <row r="50" customFormat="false" ht="15" hidden="false" customHeight="false" outlineLevel="0" collapsed="false">
      <c r="A50" s="9" t="n">
        <v>49</v>
      </c>
      <c r="B50" s="9" t="s">
        <v>992</v>
      </c>
      <c r="C50" s="9" t="s">
        <v>11</v>
      </c>
      <c r="D50" s="9" t="s">
        <v>993</v>
      </c>
      <c r="E50" s="9" t="n">
        <f aca="false">IF(LEN(TRIM(D50))=0,0,LEN(D50)-LEN(SUBSTITUTE(D50,",",""))+1)</f>
        <v>7</v>
      </c>
      <c r="F50" s="9" t="s">
        <v>23</v>
      </c>
    </row>
    <row r="51" customFormat="false" ht="15" hidden="false" customHeight="false" outlineLevel="0" collapsed="false">
      <c r="A51" s="9" t="n">
        <v>50</v>
      </c>
      <c r="B51" s="9" t="s">
        <v>994</v>
      </c>
      <c r="C51" s="9" t="s">
        <v>11</v>
      </c>
      <c r="D51" s="9" t="s">
        <v>995</v>
      </c>
      <c r="E51" s="9" t="n">
        <f aca="false">IF(LEN(TRIM(D51))=0,0,LEN(D51)-LEN(SUBSTITUTE(D51,",",""))+1)</f>
        <v>14</v>
      </c>
      <c r="F51" s="9" t="s">
        <v>23</v>
      </c>
    </row>
    <row r="52" customFormat="false" ht="15" hidden="false" customHeight="false" outlineLevel="0" collapsed="false">
      <c r="A52" s="9" t="n">
        <v>51</v>
      </c>
      <c r="B52" s="9" t="s">
        <v>996</v>
      </c>
      <c r="C52" s="9" t="s">
        <v>11</v>
      </c>
      <c r="D52" s="9" t="s">
        <v>997</v>
      </c>
      <c r="E52" s="9" t="n">
        <f aca="false">IF(LEN(TRIM(D52))=0,0,LEN(D52)-LEN(SUBSTITUTE(D52,",",""))+1)</f>
        <v>9</v>
      </c>
      <c r="F52" s="9" t="s">
        <v>23</v>
      </c>
    </row>
    <row r="53" customFormat="false" ht="23.85" hidden="false" customHeight="false" outlineLevel="0" collapsed="false">
      <c r="A53" s="9" t="n">
        <v>52</v>
      </c>
      <c r="B53" s="9" t="s">
        <v>998</v>
      </c>
      <c r="C53" s="9" t="s">
        <v>11</v>
      </c>
      <c r="D53" s="9" t="s">
        <v>999</v>
      </c>
      <c r="E53" s="9" t="n">
        <f aca="false">IF(LEN(TRIM(D53))=0,0,LEN(D53)-LEN(SUBSTITUTE(D53,",",""))+1)</f>
        <v>17</v>
      </c>
      <c r="F53" s="9" t="s">
        <v>23</v>
      </c>
    </row>
    <row r="54" customFormat="false" ht="15" hidden="false" customHeight="false" outlineLevel="0" collapsed="false">
      <c r="A54" s="9" t="n">
        <v>53</v>
      </c>
      <c r="B54" s="9" t="s">
        <v>1000</v>
      </c>
      <c r="C54" s="9" t="s">
        <v>11</v>
      </c>
      <c r="D54" s="9" t="s">
        <v>1001</v>
      </c>
      <c r="E54" s="9" t="n">
        <f aca="false">IF(LEN(TRIM(D54))=0,0,LEN(D54)-LEN(SUBSTITUTE(D54,",",""))+1)</f>
        <v>8</v>
      </c>
      <c r="F54" s="9" t="s">
        <v>23</v>
      </c>
    </row>
    <row r="55" customFormat="false" ht="15" hidden="false" customHeight="false" outlineLevel="0" collapsed="false">
      <c r="A55" s="9" t="n">
        <v>54</v>
      </c>
      <c r="B55" s="9" t="s">
        <v>1002</v>
      </c>
      <c r="C55" s="9" t="s">
        <v>11</v>
      </c>
      <c r="D55" s="9" t="s">
        <v>1003</v>
      </c>
      <c r="E55" s="9" t="n">
        <f aca="false">IF(LEN(TRIM(D55))=0,0,LEN(D55)-LEN(SUBSTITUTE(D55,",",""))+1)</f>
        <v>9</v>
      </c>
      <c r="F55" s="9" t="s">
        <v>23</v>
      </c>
    </row>
    <row r="56" customFormat="false" ht="15" hidden="false" customHeight="false" outlineLevel="0" collapsed="false">
      <c r="A56" s="9" t="n">
        <v>55</v>
      </c>
      <c r="B56" s="9" t="s">
        <v>1004</v>
      </c>
      <c r="C56" s="9" t="s">
        <v>11</v>
      </c>
      <c r="D56" s="9" t="s">
        <v>1005</v>
      </c>
      <c r="E56" s="9" t="n">
        <f aca="false">IF(LEN(TRIM(D56))=0,0,LEN(D56)-LEN(SUBSTITUTE(D56,",",""))+1)</f>
        <v>14</v>
      </c>
      <c r="F56" s="9" t="s">
        <v>23</v>
      </c>
    </row>
  </sheetData>
  <autoFilter ref="A1:F5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7"/>
    <col collapsed="false" customWidth="true" hidden="false" outlineLevel="0" max="2" min="2" style="0" width="30"/>
    <col collapsed="false" customWidth="true" hidden="false" outlineLevel="0" max="3" min="3" style="0" width="12"/>
    <col collapsed="false" customWidth="true" hidden="false" outlineLevel="0" max="4" min="4" style="0" width="10"/>
    <col collapsed="false" customWidth="true" hidden="false" outlineLevel="0" max="5" min="5" style="0" width="100"/>
    <col collapsed="false" customWidth="true" hidden="false" outlineLevel="0" max="6" min="6" style="0" width="14"/>
  </cols>
  <sheetData>
    <row r="1" customFormat="false" ht="23.85" hidden="false" customHeight="false" outlineLevel="0" collapsed="false">
      <c r="A1" s="8" t="s">
        <v>1006</v>
      </c>
      <c r="B1" s="8" t="s">
        <v>18</v>
      </c>
      <c r="C1" s="8" t="s">
        <v>1007</v>
      </c>
      <c r="D1" s="8" t="s">
        <v>1008</v>
      </c>
      <c r="E1" s="8" t="s">
        <v>1009</v>
      </c>
      <c r="F1" s="8" t="s">
        <v>19</v>
      </c>
    </row>
    <row r="2" customFormat="false" ht="102.2" hidden="false" customHeight="false" outlineLevel="0" collapsed="false">
      <c r="A2" s="10" t="n">
        <v>1</v>
      </c>
      <c r="B2" s="10" t="s">
        <v>8</v>
      </c>
      <c r="C2" s="10" t="s">
        <v>1010</v>
      </c>
      <c r="D2" s="10" t="s">
        <v>22</v>
      </c>
      <c r="E2" s="10" t="s">
        <v>1011</v>
      </c>
      <c r="F2" s="10" t="s">
        <v>634</v>
      </c>
    </row>
    <row r="3" customFormat="false" ht="35.05" hidden="false" customHeight="false" outlineLevel="0" collapsed="false">
      <c r="A3" s="10" t="n">
        <v>2</v>
      </c>
      <c r="B3" s="10" t="s">
        <v>8</v>
      </c>
      <c r="C3" s="10" t="s">
        <v>1012</v>
      </c>
      <c r="D3" s="10" t="n">
        <v>1</v>
      </c>
      <c r="E3" s="10" t="s">
        <v>1013</v>
      </c>
      <c r="F3" s="10" t="s">
        <v>634</v>
      </c>
    </row>
    <row r="4" customFormat="false" ht="46.25" hidden="false" customHeight="false" outlineLevel="0" collapsed="false">
      <c r="A4" s="10" t="n">
        <v>3</v>
      </c>
      <c r="B4" s="10" t="s">
        <v>8</v>
      </c>
      <c r="C4" s="10" t="s">
        <v>1012</v>
      </c>
      <c r="D4" s="10" t="n">
        <v>1</v>
      </c>
      <c r="E4" s="10" t="s">
        <v>1014</v>
      </c>
      <c r="F4" s="10" t="s">
        <v>634</v>
      </c>
    </row>
    <row r="5" customFormat="false" ht="23.85" hidden="false" customHeight="false" outlineLevel="0" collapsed="false">
      <c r="A5" s="10" t="n">
        <v>4</v>
      </c>
      <c r="B5" s="10" t="s">
        <v>8</v>
      </c>
      <c r="C5" s="10" t="s">
        <v>1012</v>
      </c>
      <c r="D5" s="10" t="n">
        <v>1</v>
      </c>
      <c r="E5" s="10" t="s">
        <v>1015</v>
      </c>
      <c r="F5" s="10" t="s">
        <v>634</v>
      </c>
    </row>
    <row r="6" customFormat="false" ht="35.05" hidden="false" customHeight="false" outlineLevel="0" collapsed="false">
      <c r="A6" s="10" t="n">
        <v>5</v>
      </c>
      <c r="B6" s="10" t="s">
        <v>8</v>
      </c>
      <c r="C6" s="10" t="s">
        <v>1012</v>
      </c>
      <c r="D6" s="10" t="n">
        <v>1</v>
      </c>
      <c r="E6" s="10" t="s">
        <v>1016</v>
      </c>
      <c r="F6" s="10" t="s">
        <v>634</v>
      </c>
    </row>
    <row r="7" customFormat="false" ht="23.85" hidden="false" customHeight="false" outlineLevel="0" collapsed="false">
      <c r="A7" s="10" t="n">
        <v>6</v>
      </c>
      <c r="B7" s="10" t="s">
        <v>8</v>
      </c>
      <c r="C7" s="10" t="s">
        <v>1012</v>
      </c>
      <c r="D7" s="10" t="n">
        <v>1</v>
      </c>
      <c r="E7" s="10" t="s">
        <v>1017</v>
      </c>
      <c r="F7" s="10" t="s">
        <v>634</v>
      </c>
    </row>
    <row r="8" customFormat="false" ht="35.05" hidden="false" customHeight="false" outlineLevel="0" collapsed="false">
      <c r="A8" s="10" t="n">
        <v>7</v>
      </c>
      <c r="B8" s="10" t="s">
        <v>8</v>
      </c>
      <c r="C8" s="10" t="s">
        <v>1012</v>
      </c>
      <c r="D8" s="10" t="n">
        <v>1</v>
      </c>
      <c r="E8" s="10" t="s">
        <v>1018</v>
      </c>
      <c r="F8" s="10" t="s">
        <v>634</v>
      </c>
    </row>
    <row r="9" customFormat="false" ht="23.85" hidden="false" customHeight="false" outlineLevel="0" collapsed="false">
      <c r="A9" s="10" t="n">
        <v>8</v>
      </c>
      <c r="B9" s="10" t="s">
        <v>8</v>
      </c>
      <c r="C9" s="10" t="s">
        <v>1012</v>
      </c>
      <c r="D9" s="10" t="n">
        <v>1</v>
      </c>
      <c r="E9" s="10" t="s">
        <v>1019</v>
      </c>
      <c r="F9" s="10" t="s">
        <v>634</v>
      </c>
    </row>
    <row r="10" customFormat="false" ht="23.85" hidden="false" customHeight="false" outlineLevel="0" collapsed="false">
      <c r="A10" s="10" t="n">
        <v>9</v>
      </c>
      <c r="B10" s="10" t="s">
        <v>8</v>
      </c>
      <c r="C10" s="10" t="s">
        <v>1012</v>
      </c>
      <c r="D10" s="10" t="n">
        <v>1</v>
      </c>
      <c r="E10" s="10" t="s">
        <v>1020</v>
      </c>
      <c r="F10" s="10" t="s">
        <v>634</v>
      </c>
    </row>
    <row r="11" customFormat="false" ht="35.05" hidden="false" customHeight="false" outlineLevel="0" collapsed="false">
      <c r="A11" s="10" t="n">
        <v>10</v>
      </c>
      <c r="B11" s="10" t="s">
        <v>8</v>
      </c>
      <c r="C11" s="10" t="s">
        <v>1012</v>
      </c>
      <c r="D11" s="10" t="n">
        <v>1</v>
      </c>
      <c r="E11" s="10" t="s">
        <v>1021</v>
      </c>
      <c r="F11" s="10" t="s">
        <v>634</v>
      </c>
    </row>
    <row r="12" customFormat="false" ht="35.05" hidden="false" customHeight="false" outlineLevel="0" collapsed="false">
      <c r="A12" s="10" t="n">
        <v>11</v>
      </c>
      <c r="B12" s="10" t="s">
        <v>8</v>
      </c>
      <c r="C12" s="10" t="s">
        <v>1012</v>
      </c>
      <c r="D12" s="10" t="n">
        <v>1</v>
      </c>
      <c r="E12" s="10" t="s">
        <v>1022</v>
      </c>
      <c r="F12" s="10" t="s">
        <v>634</v>
      </c>
    </row>
    <row r="13" customFormat="false" ht="35.05" hidden="false" customHeight="false" outlineLevel="0" collapsed="false">
      <c r="A13" s="10" t="n">
        <v>12</v>
      </c>
      <c r="B13" s="10" t="s">
        <v>8</v>
      </c>
      <c r="C13" s="10" t="s">
        <v>1012</v>
      </c>
      <c r="D13" s="10" t="n">
        <v>1</v>
      </c>
      <c r="E13" s="10" t="s">
        <v>1023</v>
      </c>
      <c r="F13" s="10" t="s">
        <v>634</v>
      </c>
    </row>
    <row r="14" customFormat="false" ht="35.05" hidden="false" customHeight="false" outlineLevel="0" collapsed="false">
      <c r="A14" s="10" t="n">
        <v>13</v>
      </c>
      <c r="B14" s="10" t="s">
        <v>8</v>
      </c>
      <c r="C14" s="10" t="s">
        <v>1012</v>
      </c>
      <c r="D14" s="10" t="n">
        <v>1</v>
      </c>
      <c r="E14" s="10" t="s">
        <v>1024</v>
      </c>
      <c r="F14" s="10" t="s">
        <v>634</v>
      </c>
    </row>
    <row r="15" customFormat="false" ht="46.25" hidden="false" customHeight="false" outlineLevel="0" collapsed="false">
      <c r="A15" s="10" t="n">
        <v>14</v>
      </c>
      <c r="B15" s="10" t="s">
        <v>8</v>
      </c>
      <c r="C15" s="10" t="s">
        <v>1012</v>
      </c>
      <c r="D15" s="10" t="n">
        <v>1</v>
      </c>
      <c r="E15" s="10" t="s">
        <v>1025</v>
      </c>
      <c r="F15" s="10" t="s">
        <v>634</v>
      </c>
    </row>
    <row r="16" customFormat="false" ht="23.85" hidden="false" customHeight="false" outlineLevel="0" collapsed="false">
      <c r="A16" s="10" t="n">
        <v>15</v>
      </c>
      <c r="B16" s="10" t="s">
        <v>8</v>
      </c>
      <c r="C16" s="10" t="s">
        <v>1012</v>
      </c>
      <c r="D16" s="10" t="n">
        <v>1</v>
      </c>
      <c r="E16" s="10" t="s">
        <v>1026</v>
      </c>
      <c r="F16" s="10" t="s">
        <v>634</v>
      </c>
    </row>
    <row r="17" customFormat="false" ht="23.85" hidden="false" customHeight="false" outlineLevel="0" collapsed="false">
      <c r="A17" s="10" t="n">
        <v>16</v>
      </c>
      <c r="B17" s="10" t="s">
        <v>8</v>
      </c>
      <c r="C17" s="10" t="s">
        <v>1012</v>
      </c>
      <c r="D17" s="10" t="n">
        <v>1</v>
      </c>
      <c r="E17" s="10" t="s">
        <v>1027</v>
      </c>
      <c r="F17" s="10" t="s">
        <v>634</v>
      </c>
    </row>
    <row r="18" customFormat="false" ht="35.05" hidden="false" customHeight="false" outlineLevel="0" collapsed="false">
      <c r="A18" s="10" t="n">
        <v>17</v>
      </c>
      <c r="B18" s="10" t="s">
        <v>8</v>
      </c>
      <c r="C18" s="10" t="s">
        <v>1012</v>
      </c>
      <c r="D18" s="10" t="n">
        <v>1</v>
      </c>
      <c r="E18" s="10" t="s">
        <v>1028</v>
      </c>
      <c r="F18" s="10" t="s">
        <v>634</v>
      </c>
    </row>
    <row r="19" customFormat="false" ht="68.65" hidden="false" customHeight="false" outlineLevel="0" collapsed="false">
      <c r="A19" s="10" t="n">
        <v>18</v>
      </c>
      <c r="B19" s="10" t="s">
        <v>8</v>
      </c>
      <c r="C19" s="10" t="s">
        <v>1010</v>
      </c>
      <c r="D19" s="10" t="s">
        <v>22</v>
      </c>
      <c r="E19" s="10" t="s">
        <v>1029</v>
      </c>
      <c r="F19" s="10" t="s">
        <v>634</v>
      </c>
    </row>
    <row r="20" customFormat="false" ht="57.45" hidden="false" customHeight="false" outlineLevel="0" collapsed="false">
      <c r="A20" s="10" t="n">
        <v>19</v>
      </c>
      <c r="B20" s="10" t="s">
        <v>8</v>
      </c>
      <c r="C20" s="10" t="s">
        <v>1010</v>
      </c>
      <c r="D20" s="10" t="s">
        <v>22</v>
      </c>
      <c r="E20" s="10" t="s">
        <v>1030</v>
      </c>
      <c r="F20" s="10" t="s">
        <v>634</v>
      </c>
    </row>
    <row r="21" customFormat="false" ht="23.85" hidden="false" customHeight="false" outlineLevel="0" collapsed="false">
      <c r="A21" s="10" t="n">
        <v>20</v>
      </c>
      <c r="B21" s="10" t="s">
        <v>8</v>
      </c>
      <c r="C21" s="10" t="s">
        <v>1010</v>
      </c>
      <c r="D21" s="10" t="s">
        <v>22</v>
      </c>
      <c r="E21" s="10" t="s">
        <v>1031</v>
      </c>
      <c r="F21" s="10" t="s">
        <v>634</v>
      </c>
    </row>
    <row r="22" customFormat="false" ht="91" hidden="false" customHeight="false" outlineLevel="0" collapsed="false">
      <c r="A22" s="9" t="n">
        <v>21</v>
      </c>
      <c r="B22" s="9" t="s">
        <v>9</v>
      </c>
      <c r="C22" s="9" t="s">
        <v>1010</v>
      </c>
      <c r="D22" s="9" t="s">
        <v>22</v>
      </c>
      <c r="E22" s="9" t="s">
        <v>1032</v>
      </c>
      <c r="F22" s="9" t="s">
        <v>23</v>
      </c>
    </row>
    <row r="23" customFormat="false" ht="46.25" hidden="false" customHeight="false" outlineLevel="0" collapsed="false">
      <c r="A23" s="9" t="n">
        <v>22</v>
      </c>
      <c r="B23" s="9" t="s">
        <v>9</v>
      </c>
      <c r="C23" s="9" t="s">
        <v>1012</v>
      </c>
      <c r="D23" s="9" t="n">
        <v>21</v>
      </c>
      <c r="E23" s="9" t="s">
        <v>1033</v>
      </c>
      <c r="F23" s="9" t="s">
        <v>23</v>
      </c>
    </row>
    <row r="24" customFormat="false" ht="35.05" hidden="false" customHeight="false" outlineLevel="0" collapsed="false">
      <c r="A24" s="9" t="n">
        <v>23</v>
      </c>
      <c r="B24" s="9" t="s">
        <v>9</v>
      </c>
      <c r="C24" s="9" t="s">
        <v>1012</v>
      </c>
      <c r="D24" s="9" t="n">
        <v>21</v>
      </c>
      <c r="E24" s="9" t="s">
        <v>1034</v>
      </c>
      <c r="F24" s="9" t="s">
        <v>23</v>
      </c>
    </row>
    <row r="25" customFormat="false" ht="23.85" hidden="false" customHeight="false" outlineLevel="0" collapsed="false">
      <c r="A25" s="9" t="n">
        <v>24</v>
      </c>
      <c r="B25" s="9" t="s">
        <v>9</v>
      </c>
      <c r="C25" s="9" t="s">
        <v>1012</v>
      </c>
      <c r="D25" s="9" t="n">
        <v>21</v>
      </c>
      <c r="E25" s="9" t="s">
        <v>1035</v>
      </c>
      <c r="F25" s="9" t="s">
        <v>23</v>
      </c>
    </row>
    <row r="26" customFormat="false" ht="23.85" hidden="false" customHeight="false" outlineLevel="0" collapsed="false">
      <c r="A26" s="9" t="n">
        <v>25</v>
      </c>
      <c r="B26" s="9" t="s">
        <v>9</v>
      </c>
      <c r="C26" s="9" t="s">
        <v>1012</v>
      </c>
      <c r="D26" s="9" t="n">
        <v>21</v>
      </c>
      <c r="E26" s="9" t="s">
        <v>1036</v>
      </c>
      <c r="F26" s="9" t="s">
        <v>23</v>
      </c>
    </row>
    <row r="27" customFormat="false" ht="68.65" hidden="false" customHeight="false" outlineLevel="0" collapsed="false">
      <c r="A27" s="9" t="n">
        <v>26</v>
      </c>
      <c r="B27" s="9" t="s">
        <v>9</v>
      </c>
      <c r="C27" s="9" t="s">
        <v>1010</v>
      </c>
      <c r="D27" s="9" t="s">
        <v>22</v>
      </c>
      <c r="E27" s="9" t="s">
        <v>1037</v>
      </c>
      <c r="F27" s="9" t="s">
        <v>23</v>
      </c>
    </row>
    <row r="28" customFormat="false" ht="23.85" hidden="false" customHeight="false" outlineLevel="0" collapsed="false">
      <c r="A28" s="9" t="n">
        <v>27</v>
      </c>
      <c r="B28" s="9" t="s">
        <v>9</v>
      </c>
      <c r="C28" s="9" t="s">
        <v>1012</v>
      </c>
      <c r="D28" s="9" t="n">
        <v>26</v>
      </c>
      <c r="E28" s="9" t="s">
        <v>1038</v>
      </c>
      <c r="F28" s="9" t="s">
        <v>23</v>
      </c>
    </row>
    <row r="29" customFormat="false" ht="23.85" hidden="false" customHeight="false" outlineLevel="0" collapsed="false">
      <c r="A29" s="9" t="n">
        <v>28</v>
      </c>
      <c r="B29" s="9" t="s">
        <v>9</v>
      </c>
      <c r="C29" s="9" t="s">
        <v>1012</v>
      </c>
      <c r="D29" s="9" t="n">
        <v>26</v>
      </c>
      <c r="E29" s="9" t="s">
        <v>1039</v>
      </c>
      <c r="F29" s="9" t="s">
        <v>23</v>
      </c>
    </row>
    <row r="30" customFormat="false" ht="23.85" hidden="false" customHeight="false" outlineLevel="0" collapsed="false">
      <c r="A30" s="9" t="n">
        <v>29</v>
      </c>
      <c r="B30" s="9" t="s">
        <v>9</v>
      </c>
      <c r="C30" s="9" t="s">
        <v>1012</v>
      </c>
      <c r="D30" s="9" t="n">
        <v>26</v>
      </c>
      <c r="E30" s="9" t="s">
        <v>1040</v>
      </c>
      <c r="F30" s="9" t="s">
        <v>23</v>
      </c>
    </row>
    <row r="31" customFormat="false" ht="79.85" hidden="false" customHeight="false" outlineLevel="0" collapsed="false">
      <c r="A31" s="9" t="n">
        <v>30</v>
      </c>
      <c r="B31" s="9" t="s">
        <v>9</v>
      </c>
      <c r="C31" s="9" t="s">
        <v>1010</v>
      </c>
      <c r="D31" s="9" t="s">
        <v>22</v>
      </c>
      <c r="E31" s="9" t="s">
        <v>1041</v>
      </c>
      <c r="F31" s="9" t="s">
        <v>23</v>
      </c>
    </row>
    <row r="32" customFormat="false" ht="23.85" hidden="false" customHeight="false" outlineLevel="0" collapsed="false">
      <c r="A32" s="9" t="n">
        <v>31</v>
      </c>
      <c r="B32" s="9" t="s">
        <v>9</v>
      </c>
      <c r="C32" s="9" t="s">
        <v>1012</v>
      </c>
      <c r="D32" s="9" t="n">
        <v>30</v>
      </c>
      <c r="E32" s="9" t="s">
        <v>1042</v>
      </c>
      <c r="F32" s="9" t="s">
        <v>23</v>
      </c>
    </row>
    <row r="33" customFormat="false" ht="23.85" hidden="false" customHeight="false" outlineLevel="0" collapsed="false">
      <c r="A33" s="9" t="n">
        <v>32</v>
      </c>
      <c r="B33" s="9" t="s">
        <v>9</v>
      </c>
      <c r="C33" s="9" t="s">
        <v>1012</v>
      </c>
      <c r="D33" s="9" t="n">
        <v>30</v>
      </c>
      <c r="E33" s="9" t="s">
        <v>1043</v>
      </c>
      <c r="F33" s="9" t="s">
        <v>23</v>
      </c>
    </row>
    <row r="34" customFormat="false" ht="15" hidden="false" customHeight="false" outlineLevel="0" collapsed="false">
      <c r="A34" s="9" t="n">
        <v>33</v>
      </c>
      <c r="B34" s="9" t="s">
        <v>9</v>
      </c>
      <c r="C34" s="9" t="s">
        <v>1012</v>
      </c>
      <c r="D34" s="9" t="n">
        <v>30</v>
      </c>
      <c r="E34" s="9" t="s">
        <v>1044</v>
      </c>
      <c r="F34" s="9" t="s">
        <v>23</v>
      </c>
    </row>
    <row r="35" customFormat="false" ht="57.45" hidden="false" customHeight="false" outlineLevel="0" collapsed="false">
      <c r="A35" s="9" t="n">
        <v>34</v>
      </c>
      <c r="B35" s="9" t="s">
        <v>9</v>
      </c>
      <c r="C35" s="9" t="s">
        <v>1010</v>
      </c>
      <c r="D35" s="9" t="s">
        <v>22</v>
      </c>
      <c r="E35" s="9" t="s">
        <v>1045</v>
      </c>
      <c r="F35" s="9" t="s">
        <v>23</v>
      </c>
    </row>
    <row r="36" customFormat="false" ht="23.85" hidden="false" customHeight="false" outlineLevel="0" collapsed="false">
      <c r="A36" s="9" t="n">
        <v>35</v>
      </c>
      <c r="B36" s="9" t="s">
        <v>9</v>
      </c>
      <c r="C36" s="9" t="s">
        <v>1012</v>
      </c>
      <c r="D36" s="9" t="n">
        <v>34</v>
      </c>
      <c r="E36" s="9" t="s">
        <v>1046</v>
      </c>
      <c r="F36" s="9" t="s">
        <v>23</v>
      </c>
    </row>
    <row r="37" customFormat="false" ht="35.05" hidden="false" customHeight="false" outlineLevel="0" collapsed="false">
      <c r="A37" s="9" t="n">
        <v>36</v>
      </c>
      <c r="B37" s="9" t="s">
        <v>9</v>
      </c>
      <c r="C37" s="9" t="s">
        <v>1012</v>
      </c>
      <c r="D37" s="9" t="n">
        <v>34</v>
      </c>
      <c r="E37" s="9" t="s">
        <v>1047</v>
      </c>
      <c r="F37" s="9" t="s">
        <v>23</v>
      </c>
    </row>
    <row r="38" customFormat="false" ht="23.85" hidden="false" customHeight="false" outlineLevel="0" collapsed="false">
      <c r="A38" s="9" t="n">
        <v>37</v>
      </c>
      <c r="B38" s="9" t="s">
        <v>9</v>
      </c>
      <c r="C38" s="9" t="s">
        <v>1012</v>
      </c>
      <c r="D38" s="9" t="n">
        <v>34</v>
      </c>
      <c r="E38" s="9" t="s">
        <v>1048</v>
      </c>
      <c r="F38" s="9" t="s">
        <v>23</v>
      </c>
    </row>
    <row r="39" customFormat="false" ht="15" hidden="false" customHeight="false" outlineLevel="0" collapsed="false">
      <c r="A39" s="9" t="n">
        <v>38</v>
      </c>
      <c r="B39" s="9" t="s">
        <v>9</v>
      </c>
      <c r="C39" s="9" t="s">
        <v>1012</v>
      </c>
      <c r="D39" s="9" t="n">
        <v>21</v>
      </c>
      <c r="E39" s="9" t="s">
        <v>1049</v>
      </c>
      <c r="F39" s="9" t="s">
        <v>23</v>
      </c>
    </row>
    <row r="40" customFormat="false" ht="23.85" hidden="false" customHeight="false" outlineLevel="0" collapsed="false">
      <c r="A40" s="9" t="n">
        <v>39</v>
      </c>
      <c r="B40" s="9" t="s">
        <v>9</v>
      </c>
      <c r="C40" s="9" t="s">
        <v>1012</v>
      </c>
      <c r="D40" s="9" t="n">
        <v>21</v>
      </c>
      <c r="E40" s="9" t="s">
        <v>1050</v>
      </c>
      <c r="F40" s="9" t="s">
        <v>23</v>
      </c>
    </row>
    <row r="41" customFormat="false" ht="23.85" hidden="false" customHeight="false" outlineLevel="0" collapsed="false">
      <c r="A41" s="9" t="n">
        <v>40</v>
      </c>
      <c r="B41" s="9" t="s">
        <v>9</v>
      </c>
      <c r="C41" s="9" t="s">
        <v>1012</v>
      </c>
      <c r="D41" s="9" t="n">
        <v>26</v>
      </c>
      <c r="E41" s="9" t="s">
        <v>1051</v>
      </c>
      <c r="F41" s="9" t="s">
        <v>23</v>
      </c>
    </row>
    <row r="42" customFormat="false" ht="68.65" hidden="false" customHeight="false" outlineLevel="0" collapsed="false">
      <c r="A42" s="9" t="n">
        <v>41</v>
      </c>
      <c r="B42" s="9" t="s">
        <v>9</v>
      </c>
      <c r="C42" s="9" t="s">
        <v>1010</v>
      </c>
      <c r="D42" s="9" t="s">
        <v>22</v>
      </c>
      <c r="E42" s="9" t="s">
        <v>1052</v>
      </c>
      <c r="F42" s="9" t="s">
        <v>23</v>
      </c>
    </row>
    <row r="43" customFormat="false" ht="35.05" hidden="false" customHeight="false" outlineLevel="0" collapsed="false">
      <c r="A43" s="9" t="n">
        <v>42</v>
      </c>
      <c r="B43" s="9" t="s">
        <v>9</v>
      </c>
      <c r="C43" s="9" t="s">
        <v>1012</v>
      </c>
      <c r="D43" s="9" t="n">
        <v>41</v>
      </c>
      <c r="E43" s="9" t="s">
        <v>1053</v>
      </c>
      <c r="F43" s="9" t="s">
        <v>23</v>
      </c>
    </row>
    <row r="44" customFormat="false" ht="35.05" hidden="false" customHeight="false" outlineLevel="0" collapsed="false">
      <c r="A44" s="9" t="n">
        <v>43</v>
      </c>
      <c r="B44" s="9" t="s">
        <v>9</v>
      </c>
      <c r="C44" s="9" t="s">
        <v>1012</v>
      </c>
      <c r="D44" s="9" t="n">
        <v>41</v>
      </c>
      <c r="E44" s="9" t="s">
        <v>1054</v>
      </c>
      <c r="F44" s="9" t="s">
        <v>23</v>
      </c>
    </row>
    <row r="45" customFormat="false" ht="35.05" hidden="false" customHeight="false" outlineLevel="0" collapsed="false">
      <c r="A45" s="9" t="n">
        <v>44</v>
      </c>
      <c r="B45" s="9" t="s">
        <v>9</v>
      </c>
      <c r="C45" s="9" t="s">
        <v>1010</v>
      </c>
      <c r="D45" s="9" t="s">
        <v>22</v>
      </c>
      <c r="E45" s="9" t="s">
        <v>1055</v>
      </c>
      <c r="F45" s="9" t="s">
        <v>23</v>
      </c>
    </row>
    <row r="46" customFormat="false" ht="46.25" hidden="false" customHeight="false" outlineLevel="0" collapsed="false">
      <c r="A46" s="9" t="n">
        <v>45</v>
      </c>
      <c r="B46" s="9" t="s">
        <v>9</v>
      </c>
      <c r="C46" s="9" t="s">
        <v>1012</v>
      </c>
      <c r="D46" s="9" t="n">
        <v>44</v>
      </c>
      <c r="E46" s="9" t="s">
        <v>1056</v>
      </c>
      <c r="F46" s="9" t="s">
        <v>23</v>
      </c>
    </row>
    <row r="47" customFormat="false" ht="23.85" hidden="false" customHeight="false" outlineLevel="0" collapsed="false">
      <c r="A47" s="9" t="n">
        <v>46</v>
      </c>
      <c r="B47" s="9" t="s">
        <v>9</v>
      </c>
      <c r="C47" s="9" t="s">
        <v>1012</v>
      </c>
      <c r="D47" s="9" t="n">
        <v>44</v>
      </c>
      <c r="E47" s="9" t="s">
        <v>1057</v>
      </c>
      <c r="F47" s="9" t="s">
        <v>23</v>
      </c>
    </row>
    <row r="48" customFormat="false" ht="46.25" hidden="false" customHeight="false" outlineLevel="0" collapsed="false">
      <c r="A48" s="9" t="n">
        <v>47</v>
      </c>
      <c r="B48" s="9" t="s">
        <v>9</v>
      </c>
      <c r="C48" s="9" t="s">
        <v>1010</v>
      </c>
      <c r="D48" s="9" t="s">
        <v>22</v>
      </c>
      <c r="E48" s="9" t="s">
        <v>1058</v>
      </c>
      <c r="F48" s="9" t="s">
        <v>23</v>
      </c>
    </row>
    <row r="49" customFormat="false" ht="23.85" hidden="false" customHeight="false" outlineLevel="0" collapsed="false">
      <c r="A49" s="9" t="n">
        <v>48</v>
      </c>
      <c r="B49" s="9" t="s">
        <v>9</v>
      </c>
      <c r="C49" s="9" t="s">
        <v>1012</v>
      </c>
      <c r="D49" s="9" t="n">
        <v>47</v>
      </c>
      <c r="E49" s="9" t="s">
        <v>1059</v>
      </c>
      <c r="F49" s="9" t="s">
        <v>23</v>
      </c>
    </row>
    <row r="50" customFormat="false" ht="57.45" hidden="false" customHeight="false" outlineLevel="0" collapsed="false">
      <c r="A50" s="9" t="n">
        <v>49</v>
      </c>
      <c r="B50" s="9" t="s">
        <v>9</v>
      </c>
      <c r="C50" s="9" t="s">
        <v>1010</v>
      </c>
      <c r="D50" s="9" t="s">
        <v>22</v>
      </c>
      <c r="E50" s="9" t="s">
        <v>1060</v>
      </c>
      <c r="F50" s="9" t="s">
        <v>23</v>
      </c>
    </row>
    <row r="51" customFormat="false" ht="35.05" hidden="false" customHeight="false" outlineLevel="0" collapsed="false">
      <c r="A51" s="9" t="n">
        <v>50</v>
      </c>
      <c r="B51" s="9" t="s">
        <v>9</v>
      </c>
      <c r="C51" s="9" t="s">
        <v>1012</v>
      </c>
      <c r="D51" s="9" t="n">
        <v>41</v>
      </c>
      <c r="E51" s="9" t="s">
        <v>1061</v>
      </c>
      <c r="F51" s="9" t="s">
        <v>23</v>
      </c>
    </row>
    <row r="52" customFormat="false" ht="68.65" hidden="false" customHeight="false" outlineLevel="0" collapsed="false">
      <c r="A52" s="9" t="n">
        <v>51</v>
      </c>
      <c r="B52" s="9" t="s">
        <v>10</v>
      </c>
      <c r="C52" s="9" t="s">
        <v>1010</v>
      </c>
      <c r="D52" s="9" t="s">
        <v>22</v>
      </c>
      <c r="E52" s="9" t="s">
        <v>1062</v>
      </c>
      <c r="F52" s="9" t="s">
        <v>23</v>
      </c>
    </row>
    <row r="53" customFormat="false" ht="35.05" hidden="false" customHeight="false" outlineLevel="0" collapsed="false">
      <c r="A53" s="9" t="n">
        <v>52</v>
      </c>
      <c r="B53" s="9" t="s">
        <v>10</v>
      </c>
      <c r="C53" s="9" t="s">
        <v>1012</v>
      </c>
      <c r="D53" s="9" t="n">
        <v>51</v>
      </c>
      <c r="E53" s="9" t="s">
        <v>1063</v>
      </c>
      <c r="F53" s="9" t="s">
        <v>23</v>
      </c>
    </row>
    <row r="54" customFormat="false" ht="23.85" hidden="false" customHeight="false" outlineLevel="0" collapsed="false">
      <c r="A54" s="9" t="n">
        <v>53</v>
      </c>
      <c r="B54" s="9" t="s">
        <v>10</v>
      </c>
      <c r="C54" s="9" t="s">
        <v>1012</v>
      </c>
      <c r="D54" s="9" t="n">
        <v>51</v>
      </c>
      <c r="E54" s="9" t="s">
        <v>1064</v>
      </c>
      <c r="F54" s="9" t="s">
        <v>23</v>
      </c>
    </row>
    <row r="55" customFormat="false" ht="23.85" hidden="false" customHeight="false" outlineLevel="0" collapsed="false">
      <c r="A55" s="9" t="n">
        <v>54</v>
      </c>
      <c r="B55" s="9" t="s">
        <v>10</v>
      </c>
      <c r="C55" s="9" t="s">
        <v>1012</v>
      </c>
      <c r="D55" s="9" t="n">
        <v>51</v>
      </c>
      <c r="E55" s="9" t="s">
        <v>1065</v>
      </c>
      <c r="F55" s="9" t="s">
        <v>23</v>
      </c>
    </row>
    <row r="56" customFormat="false" ht="57.45" hidden="false" customHeight="false" outlineLevel="0" collapsed="false">
      <c r="A56" s="9" t="n">
        <v>55</v>
      </c>
      <c r="B56" s="9" t="s">
        <v>10</v>
      </c>
      <c r="C56" s="9" t="s">
        <v>1010</v>
      </c>
      <c r="D56" s="9" t="s">
        <v>22</v>
      </c>
      <c r="E56" s="9" t="s">
        <v>1066</v>
      </c>
      <c r="F56" s="9" t="s">
        <v>23</v>
      </c>
    </row>
    <row r="57" customFormat="false" ht="23.85" hidden="false" customHeight="false" outlineLevel="0" collapsed="false">
      <c r="A57" s="9" t="n">
        <v>56</v>
      </c>
      <c r="B57" s="9" t="s">
        <v>10</v>
      </c>
      <c r="C57" s="9" t="s">
        <v>1012</v>
      </c>
      <c r="D57" s="9" t="n">
        <v>55</v>
      </c>
      <c r="E57" s="9" t="s">
        <v>1067</v>
      </c>
      <c r="F57" s="9" t="s">
        <v>23</v>
      </c>
    </row>
    <row r="58" customFormat="false" ht="23.85" hidden="false" customHeight="false" outlineLevel="0" collapsed="false">
      <c r="A58" s="9" t="n">
        <v>57</v>
      </c>
      <c r="B58" s="9" t="s">
        <v>10</v>
      </c>
      <c r="C58" s="9" t="s">
        <v>1012</v>
      </c>
      <c r="D58" s="9" t="n">
        <v>51</v>
      </c>
      <c r="E58" s="9" t="s">
        <v>1068</v>
      </c>
      <c r="F58" s="9" t="s">
        <v>23</v>
      </c>
    </row>
    <row r="59" customFormat="false" ht="23.85" hidden="false" customHeight="false" outlineLevel="0" collapsed="false">
      <c r="A59" s="9" t="n">
        <v>58</v>
      </c>
      <c r="B59" s="9" t="s">
        <v>10</v>
      </c>
      <c r="C59" s="9" t="s">
        <v>1012</v>
      </c>
      <c r="D59" s="9" t="n">
        <v>51</v>
      </c>
      <c r="E59" s="9" t="s">
        <v>1069</v>
      </c>
      <c r="F59" s="9" t="s">
        <v>23</v>
      </c>
    </row>
    <row r="60" customFormat="false" ht="79.85" hidden="false" customHeight="false" outlineLevel="0" collapsed="false">
      <c r="A60" s="9" t="n">
        <v>59</v>
      </c>
      <c r="B60" s="9" t="s">
        <v>10</v>
      </c>
      <c r="C60" s="9" t="s">
        <v>1010</v>
      </c>
      <c r="D60" s="9" t="s">
        <v>22</v>
      </c>
      <c r="E60" s="9" t="s">
        <v>1070</v>
      </c>
      <c r="F60" s="9" t="s">
        <v>23</v>
      </c>
    </row>
    <row r="61" customFormat="false" ht="23.85" hidden="false" customHeight="false" outlineLevel="0" collapsed="false">
      <c r="A61" s="9" t="n">
        <v>60</v>
      </c>
      <c r="B61" s="9" t="s">
        <v>10</v>
      </c>
      <c r="C61" s="9" t="s">
        <v>1012</v>
      </c>
      <c r="D61" s="9" t="n">
        <v>59</v>
      </c>
      <c r="E61" s="9" t="s">
        <v>1071</v>
      </c>
      <c r="F61" s="9" t="s">
        <v>23</v>
      </c>
    </row>
    <row r="62" customFormat="false" ht="23.85" hidden="false" customHeight="false" outlineLevel="0" collapsed="false">
      <c r="A62" s="9" t="n">
        <v>61</v>
      </c>
      <c r="B62" s="9" t="s">
        <v>10</v>
      </c>
      <c r="C62" s="9" t="s">
        <v>1012</v>
      </c>
      <c r="D62" s="9" t="n">
        <v>59</v>
      </c>
      <c r="E62" s="9" t="s">
        <v>1072</v>
      </c>
      <c r="F62" s="9" t="s">
        <v>23</v>
      </c>
    </row>
    <row r="63" customFormat="false" ht="23.85" hidden="false" customHeight="false" outlineLevel="0" collapsed="false">
      <c r="A63" s="9" t="n">
        <v>62</v>
      </c>
      <c r="B63" s="9" t="s">
        <v>10</v>
      </c>
      <c r="C63" s="9" t="s">
        <v>1012</v>
      </c>
      <c r="D63" s="9" t="n">
        <v>59</v>
      </c>
      <c r="E63" s="9" t="s">
        <v>1073</v>
      </c>
      <c r="F63" s="9" t="s">
        <v>23</v>
      </c>
    </row>
    <row r="64" customFormat="false" ht="79.85" hidden="false" customHeight="false" outlineLevel="0" collapsed="false">
      <c r="A64" s="9" t="n">
        <v>63</v>
      </c>
      <c r="B64" s="9" t="s">
        <v>10</v>
      </c>
      <c r="C64" s="9" t="s">
        <v>1010</v>
      </c>
      <c r="D64" s="9" t="s">
        <v>22</v>
      </c>
      <c r="E64" s="9" t="s">
        <v>1074</v>
      </c>
      <c r="F64" s="9" t="s">
        <v>23</v>
      </c>
    </row>
    <row r="65" customFormat="false" ht="23.85" hidden="false" customHeight="false" outlineLevel="0" collapsed="false">
      <c r="A65" s="9" t="n">
        <v>64</v>
      </c>
      <c r="B65" s="9" t="s">
        <v>10</v>
      </c>
      <c r="C65" s="9" t="s">
        <v>1012</v>
      </c>
      <c r="D65" s="9" t="n">
        <v>63</v>
      </c>
      <c r="E65" s="9" t="s">
        <v>1075</v>
      </c>
      <c r="F65" s="9" t="s">
        <v>23</v>
      </c>
    </row>
    <row r="66" customFormat="false" ht="35.05" hidden="false" customHeight="false" outlineLevel="0" collapsed="false">
      <c r="A66" s="9" t="n">
        <v>65</v>
      </c>
      <c r="B66" s="9" t="s">
        <v>10</v>
      </c>
      <c r="C66" s="9" t="s">
        <v>1012</v>
      </c>
      <c r="D66" s="9" t="n">
        <v>59</v>
      </c>
      <c r="E66" s="9" t="s">
        <v>1076</v>
      </c>
      <c r="F66" s="9" t="s">
        <v>23</v>
      </c>
    </row>
    <row r="67" customFormat="false" ht="35.05" hidden="false" customHeight="false" outlineLevel="0" collapsed="false">
      <c r="A67" s="9" t="n">
        <v>66</v>
      </c>
      <c r="B67" s="9" t="s">
        <v>10</v>
      </c>
      <c r="C67" s="9" t="s">
        <v>1012</v>
      </c>
      <c r="D67" s="9" t="n">
        <v>59</v>
      </c>
      <c r="E67" s="9" t="s">
        <v>1077</v>
      </c>
      <c r="F67" s="9" t="s">
        <v>23</v>
      </c>
    </row>
    <row r="68" customFormat="false" ht="68.65" hidden="false" customHeight="false" outlineLevel="0" collapsed="false">
      <c r="A68" s="9" t="n">
        <v>67</v>
      </c>
      <c r="B68" s="9" t="s">
        <v>10</v>
      </c>
      <c r="C68" s="9" t="s">
        <v>1010</v>
      </c>
      <c r="D68" s="9" t="s">
        <v>22</v>
      </c>
      <c r="E68" s="9" t="s">
        <v>1078</v>
      </c>
      <c r="F68" s="9" t="s">
        <v>23</v>
      </c>
    </row>
    <row r="69" customFormat="false" ht="23.85" hidden="false" customHeight="false" outlineLevel="0" collapsed="false">
      <c r="A69" s="9" t="n">
        <v>68</v>
      </c>
      <c r="B69" s="9" t="s">
        <v>10</v>
      </c>
      <c r="C69" s="9" t="s">
        <v>1012</v>
      </c>
      <c r="D69" s="9" t="n">
        <v>67</v>
      </c>
      <c r="E69" s="9" t="s">
        <v>1079</v>
      </c>
      <c r="F69" s="9" t="s">
        <v>23</v>
      </c>
    </row>
    <row r="70" customFormat="false" ht="23.85" hidden="false" customHeight="false" outlineLevel="0" collapsed="false">
      <c r="A70" s="9" t="n">
        <v>69</v>
      </c>
      <c r="B70" s="9" t="s">
        <v>10</v>
      </c>
      <c r="C70" s="9" t="s">
        <v>1012</v>
      </c>
      <c r="D70" s="9" t="n">
        <v>67</v>
      </c>
      <c r="E70" s="9" t="s">
        <v>1080</v>
      </c>
      <c r="F70" s="9" t="s">
        <v>23</v>
      </c>
    </row>
    <row r="71" customFormat="false" ht="23.85" hidden="false" customHeight="false" outlineLevel="0" collapsed="false">
      <c r="A71" s="9" t="n">
        <v>70</v>
      </c>
      <c r="B71" s="9" t="s">
        <v>10</v>
      </c>
      <c r="C71" s="9" t="s">
        <v>1012</v>
      </c>
      <c r="D71" s="9" t="n">
        <v>69</v>
      </c>
      <c r="E71" s="9" t="s">
        <v>1081</v>
      </c>
      <c r="F71" s="9" t="s">
        <v>23</v>
      </c>
    </row>
    <row r="72" customFormat="false" ht="35.05" hidden="false" customHeight="false" outlineLevel="0" collapsed="false">
      <c r="A72" s="9" t="n">
        <v>71</v>
      </c>
      <c r="B72" s="9" t="s">
        <v>10</v>
      </c>
      <c r="C72" s="9" t="s">
        <v>1012</v>
      </c>
      <c r="D72" s="9" t="n">
        <v>69</v>
      </c>
      <c r="E72" s="9" t="s">
        <v>1082</v>
      </c>
      <c r="F72" s="9" t="s">
        <v>23</v>
      </c>
    </row>
    <row r="73" customFormat="false" ht="23.85" hidden="false" customHeight="false" outlineLevel="0" collapsed="false">
      <c r="A73" s="9" t="n">
        <v>72</v>
      </c>
      <c r="B73" s="9" t="s">
        <v>10</v>
      </c>
      <c r="C73" s="9" t="s">
        <v>1012</v>
      </c>
      <c r="D73" s="9" t="n">
        <v>69</v>
      </c>
      <c r="E73" s="9" t="s">
        <v>1083</v>
      </c>
      <c r="F73" s="9" t="s">
        <v>23</v>
      </c>
    </row>
    <row r="74" customFormat="false" ht="23.85" hidden="false" customHeight="false" outlineLevel="0" collapsed="false">
      <c r="A74" s="9" t="n">
        <v>73</v>
      </c>
      <c r="B74" s="9" t="s">
        <v>10</v>
      </c>
      <c r="C74" s="9" t="s">
        <v>1012</v>
      </c>
      <c r="D74" s="9" t="n">
        <v>67</v>
      </c>
      <c r="E74" s="9" t="s">
        <v>1084</v>
      </c>
      <c r="F74" s="9" t="s">
        <v>23</v>
      </c>
    </row>
    <row r="75" customFormat="false" ht="23.85" hidden="false" customHeight="false" outlineLevel="0" collapsed="false">
      <c r="A75" s="9" t="n">
        <v>74</v>
      </c>
      <c r="B75" s="9" t="s">
        <v>10</v>
      </c>
      <c r="C75" s="9" t="s">
        <v>1012</v>
      </c>
      <c r="D75" s="9" t="n">
        <v>67</v>
      </c>
      <c r="E75" s="9" t="s">
        <v>1085</v>
      </c>
      <c r="F75" s="9" t="s">
        <v>23</v>
      </c>
    </row>
    <row r="76" customFormat="false" ht="57.45" hidden="false" customHeight="false" outlineLevel="0" collapsed="false">
      <c r="A76" s="9" t="n">
        <v>75</v>
      </c>
      <c r="B76" s="9" t="s">
        <v>10</v>
      </c>
      <c r="C76" s="9" t="s">
        <v>1010</v>
      </c>
      <c r="D76" s="9" t="s">
        <v>22</v>
      </c>
      <c r="E76" s="9" t="s">
        <v>1086</v>
      </c>
      <c r="F76" s="9" t="s">
        <v>23</v>
      </c>
    </row>
    <row r="77" customFormat="false" ht="23.85" hidden="false" customHeight="false" outlineLevel="0" collapsed="false">
      <c r="A77" s="9" t="n">
        <v>76</v>
      </c>
      <c r="B77" s="9" t="s">
        <v>10</v>
      </c>
      <c r="C77" s="9" t="s">
        <v>1012</v>
      </c>
      <c r="D77" s="9" t="n">
        <v>75</v>
      </c>
      <c r="E77" s="9" t="s">
        <v>1087</v>
      </c>
      <c r="F77" s="9" t="s">
        <v>23</v>
      </c>
    </row>
    <row r="78" customFormat="false" ht="23.85" hidden="false" customHeight="false" outlineLevel="0" collapsed="false">
      <c r="A78" s="9" t="n">
        <v>77</v>
      </c>
      <c r="B78" s="9" t="s">
        <v>10</v>
      </c>
      <c r="C78" s="9" t="s">
        <v>1012</v>
      </c>
      <c r="D78" s="9" t="n">
        <v>76</v>
      </c>
      <c r="E78" s="9" t="s">
        <v>1088</v>
      </c>
      <c r="F78" s="9" t="s">
        <v>23</v>
      </c>
    </row>
    <row r="79" customFormat="false" ht="23.85" hidden="false" customHeight="false" outlineLevel="0" collapsed="false">
      <c r="A79" s="9" t="n">
        <v>78</v>
      </c>
      <c r="B79" s="9" t="s">
        <v>10</v>
      </c>
      <c r="C79" s="9" t="s">
        <v>1012</v>
      </c>
      <c r="D79" s="9" t="n">
        <v>75</v>
      </c>
      <c r="E79" s="9" t="s">
        <v>1089</v>
      </c>
      <c r="F79" s="9" t="s">
        <v>23</v>
      </c>
    </row>
    <row r="80" customFormat="false" ht="23.85" hidden="false" customHeight="false" outlineLevel="0" collapsed="false">
      <c r="A80" s="9" t="n">
        <v>79</v>
      </c>
      <c r="B80" s="9" t="s">
        <v>10</v>
      </c>
      <c r="C80" s="9" t="s">
        <v>1012</v>
      </c>
      <c r="D80" s="9" t="n">
        <v>75</v>
      </c>
      <c r="E80" s="9" t="s">
        <v>1090</v>
      </c>
      <c r="F80" s="9" t="s">
        <v>23</v>
      </c>
    </row>
    <row r="81" customFormat="false" ht="23.85" hidden="false" customHeight="false" outlineLevel="0" collapsed="false">
      <c r="A81" s="9" t="n">
        <v>80</v>
      </c>
      <c r="B81" s="9" t="s">
        <v>10</v>
      </c>
      <c r="C81" s="9" t="s">
        <v>1012</v>
      </c>
      <c r="D81" s="9" t="n">
        <v>75</v>
      </c>
      <c r="E81" s="9" t="s">
        <v>1091</v>
      </c>
      <c r="F81" s="9" t="s">
        <v>23</v>
      </c>
    </row>
    <row r="82" customFormat="false" ht="23.85" hidden="false" customHeight="false" outlineLevel="0" collapsed="false">
      <c r="A82" s="9" t="n">
        <v>81</v>
      </c>
      <c r="B82" s="9" t="s">
        <v>10</v>
      </c>
      <c r="C82" s="9" t="s">
        <v>1012</v>
      </c>
      <c r="D82" s="9" t="n">
        <v>75</v>
      </c>
      <c r="E82" s="9" t="s">
        <v>1092</v>
      </c>
      <c r="F82" s="9" t="s">
        <v>23</v>
      </c>
    </row>
    <row r="83" customFormat="false" ht="23.85" hidden="false" customHeight="false" outlineLevel="0" collapsed="false">
      <c r="A83" s="9" t="n">
        <v>82</v>
      </c>
      <c r="B83" s="9" t="s">
        <v>10</v>
      </c>
      <c r="C83" s="9" t="s">
        <v>1012</v>
      </c>
      <c r="D83" s="9" t="n">
        <v>75</v>
      </c>
      <c r="E83" s="9" t="s">
        <v>1093</v>
      </c>
      <c r="F83" s="9" t="s">
        <v>23</v>
      </c>
    </row>
    <row r="84" customFormat="false" ht="46.25" hidden="false" customHeight="false" outlineLevel="0" collapsed="false">
      <c r="A84" s="9" t="n">
        <v>83</v>
      </c>
      <c r="B84" s="9" t="s">
        <v>11</v>
      </c>
      <c r="C84" s="9" t="s">
        <v>1010</v>
      </c>
      <c r="D84" s="9" t="s">
        <v>22</v>
      </c>
      <c r="E84" s="9" t="s">
        <v>1094</v>
      </c>
      <c r="F84" s="9" t="s">
        <v>23</v>
      </c>
    </row>
    <row r="85" customFormat="false" ht="23.85" hidden="false" customHeight="false" outlineLevel="0" collapsed="false">
      <c r="A85" s="9" t="n">
        <v>84</v>
      </c>
      <c r="B85" s="9" t="s">
        <v>11</v>
      </c>
      <c r="C85" s="9" t="s">
        <v>1012</v>
      </c>
      <c r="D85" s="9" t="n">
        <v>83</v>
      </c>
      <c r="E85" s="9" t="s">
        <v>1095</v>
      </c>
      <c r="F85" s="9" t="s">
        <v>23</v>
      </c>
    </row>
    <row r="86" customFormat="false" ht="35.05" hidden="false" customHeight="false" outlineLevel="0" collapsed="false">
      <c r="A86" s="9" t="n">
        <v>85</v>
      </c>
      <c r="B86" s="9" t="s">
        <v>11</v>
      </c>
      <c r="C86" s="9" t="s">
        <v>1010</v>
      </c>
      <c r="D86" s="9" t="s">
        <v>22</v>
      </c>
      <c r="E86" s="9" t="s">
        <v>1096</v>
      </c>
      <c r="F86" s="9" t="s">
        <v>23</v>
      </c>
    </row>
    <row r="87" customFormat="false" ht="35.05" hidden="false" customHeight="false" outlineLevel="0" collapsed="false">
      <c r="A87" s="9" t="n">
        <v>86</v>
      </c>
      <c r="B87" s="9" t="s">
        <v>11</v>
      </c>
      <c r="C87" s="9" t="s">
        <v>1010</v>
      </c>
      <c r="D87" s="9" t="s">
        <v>22</v>
      </c>
      <c r="E87" s="9" t="s">
        <v>1097</v>
      </c>
      <c r="F87" s="9" t="s">
        <v>23</v>
      </c>
    </row>
    <row r="88" customFormat="false" ht="35.05" hidden="false" customHeight="false" outlineLevel="0" collapsed="false">
      <c r="A88" s="9" t="n">
        <v>87</v>
      </c>
      <c r="B88" s="9" t="s">
        <v>11</v>
      </c>
      <c r="C88" s="9" t="s">
        <v>1012</v>
      </c>
      <c r="D88" s="9" t="n">
        <v>86</v>
      </c>
      <c r="E88" s="9" t="s">
        <v>1098</v>
      </c>
      <c r="F88" s="9" t="s">
        <v>23</v>
      </c>
    </row>
    <row r="89" customFormat="false" ht="23.85" hidden="false" customHeight="false" outlineLevel="0" collapsed="false">
      <c r="A89" s="9" t="n">
        <v>88</v>
      </c>
      <c r="B89" s="9" t="s">
        <v>11</v>
      </c>
      <c r="C89" s="9" t="s">
        <v>1012</v>
      </c>
      <c r="D89" s="9" t="n">
        <v>86</v>
      </c>
      <c r="E89" s="9" t="s">
        <v>1099</v>
      </c>
      <c r="F89" s="9" t="s">
        <v>23</v>
      </c>
    </row>
    <row r="90" customFormat="false" ht="23.85" hidden="false" customHeight="false" outlineLevel="0" collapsed="false">
      <c r="A90" s="9" t="n">
        <v>89</v>
      </c>
      <c r="B90" s="9" t="s">
        <v>11</v>
      </c>
      <c r="C90" s="9" t="s">
        <v>1010</v>
      </c>
      <c r="D90" s="9" t="s">
        <v>22</v>
      </c>
      <c r="E90" s="9" t="s">
        <v>1100</v>
      </c>
      <c r="F90" s="9" t="s">
        <v>23</v>
      </c>
    </row>
    <row r="91" customFormat="false" ht="35.05" hidden="false" customHeight="false" outlineLevel="0" collapsed="false">
      <c r="A91" s="9" t="n">
        <v>90</v>
      </c>
      <c r="B91" s="9" t="s">
        <v>11</v>
      </c>
      <c r="C91" s="9" t="s">
        <v>1010</v>
      </c>
      <c r="D91" s="9" t="s">
        <v>22</v>
      </c>
      <c r="E91" s="9" t="s">
        <v>1101</v>
      </c>
      <c r="F91" s="9" t="s">
        <v>23</v>
      </c>
    </row>
    <row r="92" customFormat="false" ht="46.25" hidden="false" customHeight="false" outlineLevel="0" collapsed="false">
      <c r="A92" s="9" t="n">
        <v>91</v>
      </c>
      <c r="B92" s="9" t="s">
        <v>11</v>
      </c>
      <c r="C92" s="9" t="s">
        <v>1010</v>
      </c>
      <c r="D92" s="9" t="s">
        <v>22</v>
      </c>
      <c r="E92" s="9" t="s">
        <v>1102</v>
      </c>
      <c r="F92" s="9" t="s">
        <v>23</v>
      </c>
    </row>
    <row r="93" customFormat="false" ht="46.25" hidden="false" customHeight="false" outlineLevel="0" collapsed="false">
      <c r="A93" s="9" t="n">
        <v>92</v>
      </c>
      <c r="B93" s="9" t="s">
        <v>11</v>
      </c>
      <c r="C93" s="9" t="s">
        <v>1010</v>
      </c>
      <c r="D93" s="9" t="s">
        <v>22</v>
      </c>
      <c r="E93" s="9" t="s">
        <v>1103</v>
      </c>
      <c r="F93" s="9" t="s">
        <v>23</v>
      </c>
    </row>
    <row r="94" customFormat="false" ht="35.05" hidden="false" customHeight="false" outlineLevel="0" collapsed="false">
      <c r="A94" s="9" t="n">
        <v>93</v>
      </c>
      <c r="B94" s="9" t="s">
        <v>11</v>
      </c>
      <c r="C94" s="9" t="s">
        <v>1012</v>
      </c>
      <c r="D94" s="9" t="n">
        <v>92</v>
      </c>
      <c r="E94" s="9" t="s">
        <v>1104</v>
      </c>
      <c r="F94" s="9" t="s">
        <v>23</v>
      </c>
    </row>
    <row r="95" customFormat="false" ht="35.05" hidden="false" customHeight="false" outlineLevel="0" collapsed="false">
      <c r="A95" s="9" t="n">
        <v>94</v>
      </c>
      <c r="B95" s="9" t="s">
        <v>11</v>
      </c>
      <c r="C95" s="9" t="s">
        <v>1012</v>
      </c>
      <c r="D95" s="9" t="n">
        <v>92</v>
      </c>
      <c r="E95" s="9" t="s">
        <v>1105</v>
      </c>
      <c r="F95" s="9" t="s">
        <v>23</v>
      </c>
    </row>
    <row r="96" customFormat="false" ht="35.05" hidden="false" customHeight="false" outlineLevel="0" collapsed="false">
      <c r="A96" s="9" t="n">
        <v>95</v>
      </c>
      <c r="B96" s="9" t="s">
        <v>11</v>
      </c>
      <c r="C96" s="9" t="s">
        <v>1012</v>
      </c>
      <c r="D96" s="9" t="n">
        <v>92</v>
      </c>
      <c r="E96" s="9" t="s">
        <v>1106</v>
      </c>
      <c r="F96" s="9" t="s">
        <v>23</v>
      </c>
    </row>
    <row r="97" customFormat="false" ht="35.05" hidden="false" customHeight="false" outlineLevel="0" collapsed="false">
      <c r="A97" s="9" t="n">
        <v>96</v>
      </c>
      <c r="B97" s="9" t="s">
        <v>11</v>
      </c>
      <c r="C97" s="9" t="s">
        <v>1012</v>
      </c>
      <c r="D97" s="9" t="n">
        <v>92</v>
      </c>
      <c r="E97" s="9" t="s">
        <v>1107</v>
      </c>
      <c r="F97" s="9" t="s">
        <v>23</v>
      </c>
    </row>
    <row r="98" customFormat="false" ht="68.65" hidden="false" customHeight="false" outlineLevel="0" collapsed="false">
      <c r="A98" s="9" t="n">
        <v>97</v>
      </c>
      <c r="B98" s="9" t="s">
        <v>11</v>
      </c>
      <c r="C98" s="9" t="s">
        <v>1010</v>
      </c>
      <c r="D98" s="9" t="s">
        <v>22</v>
      </c>
      <c r="E98" s="9" t="s">
        <v>1108</v>
      </c>
      <c r="F98" s="9" t="s">
        <v>23</v>
      </c>
    </row>
    <row r="99" customFormat="false" ht="23.85" hidden="false" customHeight="false" outlineLevel="0" collapsed="false">
      <c r="A99" s="9" t="n">
        <v>98</v>
      </c>
      <c r="B99" s="9" t="s">
        <v>11</v>
      </c>
      <c r="C99" s="9" t="s">
        <v>1012</v>
      </c>
      <c r="D99" s="9" t="n">
        <v>97</v>
      </c>
      <c r="E99" s="9" t="s">
        <v>1109</v>
      </c>
      <c r="F99" s="9" t="s">
        <v>23</v>
      </c>
    </row>
    <row r="100" customFormat="false" ht="46.25" hidden="false" customHeight="false" outlineLevel="0" collapsed="false">
      <c r="A100" s="9" t="n">
        <v>99</v>
      </c>
      <c r="B100" s="9" t="s">
        <v>11</v>
      </c>
      <c r="C100" s="9" t="s">
        <v>1010</v>
      </c>
      <c r="D100" s="9" t="s">
        <v>22</v>
      </c>
      <c r="E100" s="9" t="s">
        <v>1110</v>
      </c>
      <c r="F100" s="9" t="s">
        <v>23</v>
      </c>
    </row>
    <row r="101" customFormat="false" ht="23.85" hidden="false" customHeight="false" outlineLevel="0" collapsed="false">
      <c r="A101" s="9" t="n">
        <v>100</v>
      </c>
      <c r="B101" s="9" t="s">
        <v>11</v>
      </c>
      <c r="C101" s="9" t="s">
        <v>1012</v>
      </c>
      <c r="D101" s="9" t="n">
        <v>99</v>
      </c>
      <c r="E101" s="9" t="s">
        <v>1111</v>
      </c>
      <c r="F101" s="9" t="s">
        <v>23</v>
      </c>
    </row>
    <row r="102" customFormat="false" ht="68.65" hidden="false" customHeight="false" outlineLevel="0" collapsed="false">
      <c r="A102" s="9" t="n">
        <v>101</v>
      </c>
      <c r="B102" s="9" t="s">
        <v>11</v>
      </c>
      <c r="C102" s="9" t="s">
        <v>1010</v>
      </c>
      <c r="D102" s="9" t="s">
        <v>22</v>
      </c>
      <c r="E102" s="9" t="s">
        <v>1112</v>
      </c>
      <c r="F102" s="9" t="s">
        <v>23</v>
      </c>
    </row>
    <row r="103" customFormat="false" ht="23.85" hidden="false" customHeight="false" outlineLevel="0" collapsed="false">
      <c r="A103" s="9" t="n">
        <v>102</v>
      </c>
      <c r="B103" s="9" t="s">
        <v>11</v>
      </c>
      <c r="C103" s="9" t="s">
        <v>1012</v>
      </c>
      <c r="D103" s="9" t="n">
        <v>101</v>
      </c>
      <c r="E103" s="9" t="s">
        <v>1113</v>
      </c>
      <c r="F103" s="9" t="s">
        <v>23</v>
      </c>
    </row>
    <row r="104" customFormat="false" ht="23.85" hidden="false" customHeight="false" outlineLevel="0" collapsed="false">
      <c r="A104" s="9" t="n">
        <v>103</v>
      </c>
      <c r="B104" s="9" t="s">
        <v>11</v>
      </c>
      <c r="C104" s="9" t="s">
        <v>1012</v>
      </c>
      <c r="D104" s="9" t="n">
        <v>101</v>
      </c>
      <c r="E104" s="9" t="s">
        <v>1114</v>
      </c>
      <c r="F104" s="9" t="s">
        <v>23</v>
      </c>
    </row>
    <row r="105" customFormat="false" ht="57.45" hidden="false" customHeight="false" outlineLevel="0" collapsed="false">
      <c r="A105" s="9" t="n">
        <v>104</v>
      </c>
      <c r="B105" s="9" t="s">
        <v>11</v>
      </c>
      <c r="C105" s="9" t="s">
        <v>1010</v>
      </c>
      <c r="D105" s="9" t="s">
        <v>22</v>
      </c>
      <c r="E105" s="9" t="s">
        <v>1115</v>
      </c>
      <c r="F105" s="9" t="s">
        <v>23</v>
      </c>
    </row>
    <row r="106" customFormat="false" ht="23.85" hidden="false" customHeight="false" outlineLevel="0" collapsed="false">
      <c r="A106" s="9" t="n">
        <v>105</v>
      </c>
      <c r="B106" s="9" t="s">
        <v>11</v>
      </c>
      <c r="C106" s="9" t="s">
        <v>1012</v>
      </c>
      <c r="D106" s="9" t="n">
        <v>104</v>
      </c>
      <c r="E106" s="9" t="s">
        <v>1116</v>
      </c>
      <c r="F106" s="9" t="s">
        <v>23</v>
      </c>
    </row>
    <row r="107" customFormat="false" ht="57.45" hidden="false" customHeight="false" outlineLevel="0" collapsed="false">
      <c r="A107" s="9" t="n">
        <v>106</v>
      </c>
      <c r="B107" s="9" t="s">
        <v>11</v>
      </c>
      <c r="C107" s="9" t="s">
        <v>1010</v>
      </c>
      <c r="D107" s="9" t="s">
        <v>22</v>
      </c>
      <c r="E107" s="9" t="s">
        <v>1117</v>
      </c>
      <c r="F107" s="9" t="s">
        <v>23</v>
      </c>
    </row>
    <row r="108" customFormat="false" ht="23.85" hidden="false" customHeight="false" outlineLevel="0" collapsed="false">
      <c r="A108" s="9" t="n">
        <v>107</v>
      </c>
      <c r="B108" s="9" t="s">
        <v>11</v>
      </c>
      <c r="C108" s="9" t="s">
        <v>1012</v>
      </c>
      <c r="D108" s="9" t="n">
        <v>106</v>
      </c>
      <c r="E108" s="9" t="s">
        <v>1118</v>
      </c>
      <c r="F108" s="9" t="s">
        <v>23</v>
      </c>
    </row>
    <row r="109" customFormat="false" ht="35.05" hidden="false" customHeight="false" outlineLevel="0" collapsed="false">
      <c r="A109" s="9" t="n">
        <v>108</v>
      </c>
      <c r="B109" s="9" t="s">
        <v>11</v>
      </c>
      <c r="C109" s="9" t="s">
        <v>1012</v>
      </c>
      <c r="D109" s="9" t="n">
        <v>94</v>
      </c>
      <c r="E109" s="9" t="s">
        <v>1119</v>
      </c>
      <c r="F109" s="9" t="s">
        <v>23</v>
      </c>
    </row>
  </sheetData>
  <autoFilter ref="A1:F10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390625" defaultRowHeight="15" zeroHeight="false" outlineLevelRow="0" outlineLevelCol="0"/>
  <cols>
    <col collapsed="false" customWidth="true" hidden="false" outlineLevel="0" max="1" min="1" style="0" width="84"/>
    <col collapsed="false" customWidth="true" hidden="false" outlineLevel="0" max="2" min="2" style="0" width="30"/>
    <col collapsed="false" customWidth="true" hidden="false" outlineLevel="0" max="3" min="3" style="0" width="18"/>
    <col collapsed="false" customWidth="true" hidden="false" outlineLevel="0" max="4" min="4" style="0" width="26"/>
    <col collapsed="false" customWidth="true" hidden="false" outlineLevel="0" max="5" min="5" style="0" width="14"/>
  </cols>
  <sheetData>
    <row r="1" customFormat="false" ht="23.85" hidden="false" customHeight="false" outlineLevel="0" collapsed="false">
      <c r="A1" s="8" t="s">
        <v>1120</v>
      </c>
      <c r="B1" s="8" t="s">
        <v>18</v>
      </c>
      <c r="C1" s="8" t="s">
        <v>1121</v>
      </c>
      <c r="D1" s="8" t="s">
        <v>3</v>
      </c>
      <c r="E1" s="8" t="s">
        <v>19</v>
      </c>
    </row>
    <row r="2" customFormat="false" ht="15" hidden="false" customHeight="false" outlineLevel="0" collapsed="false">
      <c r="A2" s="10" t="s">
        <v>1122</v>
      </c>
      <c r="B2" s="10" t="s">
        <v>8</v>
      </c>
      <c r="C2" s="10" t="s">
        <v>1123</v>
      </c>
      <c r="D2" s="10" t="s">
        <v>1124</v>
      </c>
      <c r="E2" s="10" t="s">
        <v>634</v>
      </c>
    </row>
    <row r="3" customFormat="false" ht="15" hidden="false" customHeight="false" outlineLevel="0" collapsed="false">
      <c r="A3" s="10" t="s">
        <v>1125</v>
      </c>
      <c r="B3" s="10" t="s">
        <v>8</v>
      </c>
      <c r="C3" s="10" t="s">
        <v>1126</v>
      </c>
      <c r="D3" s="10" t="s">
        <v>1127</v>
      </c>
      <c r="E3" s="10" t="s">
        <v>634</v>
      </c>
    </row>
    <row r="4" customFormat="false" ht="15" hidden="false" customHeight="false" outlineLevel="0" collapsed="false">
      <c r="A4" s="10" t="s">
        <v>1128</v>
      </c>
      <c r="B4" s="10" t="s">
        <v>8</v>
      </c>
      <c r="C4" s="10" t="s">
        <v>1129</v>
      </c>
      <c r="D4" s="10" t="s">
        <v>1130</v>
      </c>
      <c r="E4" s="10" t="s">
        <v>634</v>
      </c>
    </row>
    <row r="5" customFormat="false" ht="15" hidden="false" customHeight="false" outlineLevel="0" collapsed="false">
      <c r="A5" s="10" t="s">
        <v>1131</v>
      </c>
      <c r="B5" s="10" t="s">
        <v>8</v>
      </c>
      <c r="C5" s="10" t="s">
        <v>1132</v>
      </c>
      <c r="D5" s="10" t="s">
        <v>1133</v>
      </c>
      <c r="E5" s="10" t="s">
        <v>634</v>
      </c>
    </row>
    <row r="6" customFormat="false" ht="15" hidden="false" customHeight="false" outlineLevel="0" collapsed="false">
      <c r="A6" s="10" t="s">
        <v>1134</v>
      </c>
      <c r="B6" s="10" t="s">
        <v>8</v>
      </c>
      <c r="C6" s="10" t="s">
        <v>1135</v>
      </c>
      <c r="D6" s="10" t="s">
        <v>1136</v>
      </c>
      <c r="E6" s="10" t="s">
        <v>634</v>
      </c>
    </row>
    <row r="7" customFormat="false" ht="15" hidden="false" customHeight="false" outlineLevel="0" collapsed="false">
      <c r="A7" s="10" t="s">
        <v>1137</v>
      </c>
      <c r="B7" s="10" t="s">
        <v>8</v>
      </c>
      <c r="C7" s="10" t="s">
        <v>1138</v>
      </c>
      <c r="D7" s="10" t="s">
        <v>1139</v>
      </c>
      <c r="E7" s="10" t="s">
        <v>634</v>
      </c>
    </row>
    <row r="8" customFormat="false" ht="23.85" hidden="false" customHeight="false" outlineLevel="0" collapsed="false">
      <c r="A8" s="10" t="s">
        <v>1140</v>
      </c>
      <c r="B8" s="10" t="s">
        <v>8</v>
      </c>
      <c r="C8" s="10" t="s">
        <v>1141</v>
      </c>
      <c r="D8" s="10" t="s">
        <v>1142</v>
      </c>
      <c r="E8" s="10" t="s">
        <v>634</v>
      </c>
    </row>
    <row r="9" customFormat="false" ht="15" hidden="false" customHeight="false" outlineLevel="0" collapsed="false">
      <c r="A9" s="10" t="s">
        <v>1143</v>
      </c>
      <c r="B9" s="10" t="s">
        <v>8</v>
      </c>
      <c r="C9" s="10" t="s">
        <v>1144</v>
      </c>
      <c r="D9" s="10" t="s">
        <v>1145</v>
      </c>
      <c r="E9" s="10" t="s">
        <v>634</v>
      </c>
    </row>
    <row r="10" customFormat="false" ht="15" hidden="false" customHeight="false" outlineLevel="0" collapsed="false">
      <c r="A10" s="9" t="s">
        <v>1146</v>
      </c>
      <c r="B10" s="9" t="s">
        <v>9</v>
      </c>
      <c r="C10" s="9" t="s">
        <v>1147</v>
      </c>
      <c r="D10" s="9" t="s">
        <v>1148</v>
      </c>
      <c r="E10" s="9" t="s">
        <v>23</v>
      </c>
    </row>
    <row r="11" customFormat="false" ht="15" hidden="false" customHeight="false" outlineLevel="0" collapsed="false">
      <c r="A11" s="9" t="s">
        <v>1149</v>
      </c>
      <c r="B11" s="9" t="s">
        <v>9</v>
      </c>
      <c r="C11" s="9" t="s">
        <v>1150</v>
      </c>
      <c r="D11" s="9" t="s">
        <v>1151</v>
      </c>
      <c r="E11" s="9" t="s">
        <v>23</v>
      </c>
    </row>
    <row r="12" customFormat="false" ht="15" hidden="false" customHeight="false" outlineLevel="0" collapsed="false">
      <c r="A12" s="9" t="s">
        <v>1152</v>
      </c>
      <c r="B12" s="9" t="s">
        <v>9</v>
      </c>
      <c r="C12" s="9" t="s">
        <v>1153</v>
      </c>
      <c r="D12" s="9" t="s">
        <v>1154</v>
      </c>
      <c r="E12" s="9" t="s">
        <v>23</v>
      </c>
    </row>
    <row r="13" customFormat="false" ht="15" hidden="false" customHeight="false" outlineLevel="0" collapsed="false">
      <c r="A13" s="9" t="s">
        <v>1155</v>
      </c>
      <c r="B13" s="9" t="s">
        <v>9</v>
      </c>
      <c r="C13" s="9" t="s">
        <v>1156</v>
      </c>
      <c r="D13" s="9" t="s">
        <v>1157</v>
      </c>
      <c r="E13" s="9" t="s">
        <v>23</v>
      </c>
    </row>
    <row r="14" customFormat="false" ht="15" hidden="false" customHeight="false" outlineLevel="0" collapsed="false">
      <c r="A14" s="9" t="s">
        <v>1158</v>
      </c>
      <c r="B14" s="9" t="s">
        <v>9</v>
      </c>
      <c r="C14" s="9" t="s">
        <v>1159</v>
      </c>
      <c r="D14" s="9" t="s">
        <v>1160</v>
      </c>
      <c r="E14" s="9" t="s">
        <v>23</v>
      </c>
    </row>
    <row r="15" customFormat="false" ht="15" hidden="false" customHeight="false" outlineLevel="0" collapsed="false">
      <c r="A15" s="9" t="s">
        <v>1161</v>
      </c>
      <c r="B15" s="9" t="s">
        <v>9</v>
      </c>
      <c r="C15" s="9" t="s">
        <v>1162</v>
      </c>
      <c r="D15" s="9" t="s">
        <v>1163</v>
      </c>
      <c r="E15" s="9" t="s">
        <v>23</v>
      </c>
    </row>
    <row r="16" customFormat="false" ht="15" hidden="false" customHeight="false" outlineLevel="0" collapsed="false">
      <c r="A16" s="9" t="s">
        <v>1164</v>
      </c>
      <c r="B16" s="9" t="s">
        <v>9</v>
      </c>
      <c r="C16" s="9" t="s">
        <v>1165</v>
      </c>
      <c r="D16" s="9" t="s">
        <v>1166</v>
      </c>
      <c r="E16" s="9" t="s">
        <v>23</v>
      </c>
    </row>
    <row r="17" customFormat="false" ht="23.85" hidden="false" customHeight="false" outlineLevel="0" collapsed="false">
      <c r="A17" s="9" t="s">
        <v>1167</v>
      </c>
      <c r="B17" s="9" t="s">
        <v>9</v>
      </c>
      <c r="C17" s="9" t="s">
        <v>1168</v>
      </c>
      <c r="D17" s="9" t="s">
        <v>1169</v>
      </c>
      <c r="E17" s="9" t="s">
        <v>23</v>
      </c>
    </row>
    <row r="18" customFormat="false" ht="15" hidden="false" customHeight="false" outlineLevel="0" collapsed="false">
      <c r="A18" s="9" t="s">
        <v>1170</v>
      </c>
      <c r="B18" s="9" t="s">
        <v>10</v>
      </c>
      <c r="C18" s="9" t="s">
        <v>1171</v>
      </c>
      <c r="D18" s="9" t="s">
        <v>1172</v>
      </c>
      <c r="E18" s="9" t="s">
        <v>23</v>
      </c>
    </row>
    <row r="19" customFormat="false" ht="15" hidden="false" customHeight="false" outlineLevel="0" collapsed="false">
      <c r="A19" s="9" t="s">
        <v>1173</v>
      </c>
      <c r="B19" s="9" t="s">
        <v>10</v>
      </c>
      <c r="C19" s="9" t="s">
        <v>1174</v>
      </c>
      <c r="D19" s="9" t="s">
        <v>1175</v>
      </c>
      <c r="E19" s="9" t="s">
        <v>23</v>
      </c>
    </row>
    <row r="20" customFormat="false" ht="15" hidden="false" customHeight="false" outlineLevel="0" collapsed="false">
      <c r="A20" s="9" t="s">
        <v>1176</v>
      </c>
      <c r="B20" s="9" t="s">
        <v>10</v>
      </c>
      <c r="C20" s="9" t="s">
        <v>1177</v>
      </c>
      <c r="D20" s="9" t="s">
        <v>1178</v>
      </c>
      <c r="E20" s="9" t="s">
        <v>23</v>
      </c>
    </row>
    <row r="21" customFormat="false" ht="15" hidden="false" customHeight="false" outlineLevel="0" collapsed="false">
      <c r="A21" s="9" t="s">
        <v>1179</v>
      </c>
      <c r="B21" s="9" t="s">
        <v>10</v>
      </c>
      <c r="C21" s="9" t="s">
        <v>1180</v>
      </c>
      <c r="D21" s="9" t="s">
        <v>1181</v>
      </c>
      <c r="E21" s="9" t="s">
        <v>23</v>
      </c>
    </row>
    <row r="22" customFormat="false" ht="15" hidden="false" customHeight="false" outlineLevel="0" collapsed="false">
      <c r="A22" s="9" t="s">
        <v>1182</v>
      </c>
      <c r="B22" s="9" t="s">
        <v>11</v>
      </c>
      <c r="C22" s="9" t="s">
        <v>22</v>
      </c>
      <c r="D22" s="9" t="s">
        <v>1183</v>
      </c>
      <c r="E22" s="9" t="s">
        <v>23</v>
      </c>
    </row>
    <row r="23" customFormat="false" ht="15" hidden="false" customHeight="false" outlineLevel="0" collapsed="false">
      <c r="A23" s="9" t="s">
        <v>1184</v>
      </c>
      <c r="B23" s="9" t="s">
        <v>11</v>
      </c>
      <c r="C23" s="9" t="s">
        <v>22</v>
      </c>
      <c r="D23" s="9" t="s">
        <v>1185</v>
      </c>
      <c r="E23" s="9" t="s">
        <v>23</v>
      </c>
    </row>
    <row r="24" customFormat="false" ht="23.85" hidden="false" customHeight="false" outlineLevel="0" collapsed="false">
      <c r="A24" s="9" t="s">
        <v>1186</v>
      </c>
      <c r="B24" s="9" t="s">
        <v>11</v>
      </c>
      <c r="C24" s="9" t="s">
        <v>1187</v>
      </c>
      <c r="D24" s="9" t="s">
        <v>1188</v>
      </c>
      <c r="E24" s="9" t="s">
        <v>23</v>
      </c>
    </row>
  </sheetData>
  <autoFilter ref="A1:E2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2026-10-08T20:23:11Z</dcterms:created>
  <dc:creator>openpyxl</dc:creator>
  <dc:description/>
  <dc:language>en-US</dc:language>
  <cp:lastModifiedBy/>
  <dcterms:modified xsi:type="dcterms:W3CDTF">2026-10-08T20:23:11Z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